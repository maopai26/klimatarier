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hdaten" sheetId="1" state="visible" r:id="rId3"/>
    <sheet name="CO2 pro Nährstoff" sheetId="2" state="visible" r:id="rId4"/>
    <sheet name="Methodik &amp; Quell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Für Deutschland/Saison angepasster Basiswert (siehe Spalte F für Details je Lebensmittel). Dieser Wert wird im Blatt 'CO2 pro Nährstoff' für alle Berechnungen verwendet. Bei Lebensmitteln mit mehreren Anbau-/Haltungs-varianten (z.B. Tomaten) steht jede Variante in einer eigenen Zeile.</t>
        </r>
      </text>
    </comment>
    <comment ref="D1" authorId="0">
      <text>
        <r>
          <rPr>
            <sz val="10"/>
            <rFont val="Arial"/>
            <family val="2"/>
          </rPr>
          <t xml:space="preserve">Quelle: Poore, J. &amp; Nemecek, T. (2018), Science 360(6392):987-992, verarbeitet von Our World in Data (ourworldindata.org/grapher/ghg-per-kg-poore). Globaler Mittelwert je kg Produkt, Referenzjahr 2010. Leer, wenn diese Zeile eine spezifische Anbau-/Haltungsvariante ohne eigene globale Entsprechung ist. Nur zum Vergleich, wird NICHT für die Berechnungen verwendet.</t>
        </r>
      </text>
    </comment>
    <comment ref="G1" authorId="0">
      <text>
        <r>
          <rPr>
            <sz val="10"/>
            <rFont val="Arial"/>
            <family val="2"/>
          </rPr>
          <t xml:space="preserve">Nährwerte je 100 g: typische/repräsentative Werte in Anlehnung an gängige Nährwerttabellen (u.a. USDA FoodData Central, Bundeslebensmittelschlüssel). Durchschnittswerte für ein Beispielprodukt je Kategorie, keine Laboranalyse eines konkreten Einzelprodukts. Siehe Blatt 'Methodik &amp; Quellen'.</t>
        </r>
      </text>
    </comment>
    <comment ref="AA1" authorId="0">
      <text>
        <r>
          <rPr>
            <sz val="10"/>
            <rFont val="Arial"/>
            <family val="2"/>
          </rPr>
          <t xml:space="preserve">Geschätzt als Anteil der Kohlenhydrate (Spalte J), der typischerweise Zucker ist, nach Lebensmittelkategorie (z.B. Obst ~65-85%, Milch ~90-95% [Laktose], Brot/Nudeln/Reis/Kartoffeln ~1-5%, Fleisch/Fisch/Öl ~0%, Süßwaren ~85-95%). Keine Laboranalyse, sondern eine für die Filterlogik der Web-App ausreichend genaue Kategorie-Schätzung.</t>
        </r>
      </text>
    </comment>
  </commentList>
</comments>
</file>

<file path=xl/sharedStrings.xml><?xml version="1.0" encoding="utf-8"?>
<sst xmlns="http://schemas.openxmlformats.org/spreadsheetml/2006/main" count="1761" uniqueCount="531">
  <si>
    <t xml:space="preserve">Lebensmittel</t>
  </si>
  <si>
    <t xml:space="preserve">Quelle/Kategorie</t>
  </si>
  <si>
    <t xml:space="preserve">CO2e Deutschland/Saison je kg (kg) — Basis</t>
  </si>
  <si>
    <t xml:space="preserve">CO2e global je kg (kg) — Referenz (Poore &amp; Nemecek)</t>
  </si>
  <si>
    <t xml:space="preserve">Saison/Verfügbarkeit (Deutschland)</t>
  </si>
  <si>
    <t xml:space="preserve">Hinweis Standort-/Saisonanpassung</t>
  </si>
  <si>
    <t xml:space="preserve">Kalorien je 100g (kcal)</t>
  </si>
  <si>
    <t xml:space="preserve">Fett je 100g (g)</t>
  </si>
  <si>
    <t xml:space="preserve">Eiweiß je 100g (g)</t>
  </si>
  <si>
    <t xml:space="preserve">Kohlenhydrate je 100g (g)</t>
  </si>
  <si>
    <t xml:space="preserve">Vitamin A je 100g (µg)</t>
  </si>
  <si>
    <t xml:space="preserve">Vitamin C je 100g (mg)</t>
  </si>
  <si>
    <t xml:space="preserve">Vitamin D je 100g (µg)</t>
  </si>
  <si>
    <t xml:space="preserve">Vitamin E je 100g (mg)</t>
  </si>
  <si>
    <t xml:space="preserve">Vitamin K je 100g (µg)</t>
  </si>
  <si>
    <t xml:space="preserve">Vitamin B1 je 100g (mg)</t>
  </si>
  <si>
    <t xml:space="preserve">Vitamin B2 je 100g (mg)</t>
  </si>
  <si>
    <t xml:space="preserve">Niacin je 100g (mg)</t>
  </si>
  <si>
    <t xml:space="preserve">Vitamin B6 je 100g (mg)</t>
  </si>
  <si>
    <t xml:space="preserve">Folat je 100g (µg)</t>
  </si>
  <si>
    <t xml:space="preserve">Vitamin B12 je 100g (µg)</t>
  </si>
  <si>
    <t xml:space="preserve">Calcium je 100g (mg)</t>
  </si>
  <si>
    <t xml:space="preserve">Eisen je 100g (mg)</t>
  </si>
  <si>
    <t xml:space="preserve">Magnesium je 100g (mg)</t>
  </si>
  <si>
    <t xml:space="preserve">Zink je 100g (mg)</t>
  </si>
  <si>
    <t xml:space="preserve">Kalium je 100g (mg)</t>
  </si>
  <si>
    <t xml:space="preserve">Zucker je 100g (g)</t>
  </si>
  <si>
    <t xml:space="preserve">Aubergine</t>
  </si>
  <si>
    <t xml:space="preserve">ifeu-Studie / HLNUG-Quellenliste (ifeu 2020), 2020</t>
  </si>
  <si>
    <t xml:space="preserve">ganzjährig</t>
  </si>
  <si>
    <t xml:space="preserve">Blumenkohl</t>
  </si>
  <si>
    <t xml:space="preserve">Bohnen, grün, frisch</t>
  </si>
  <si>
    <t xml:space="preserve">Bohnen, weiß, Dose</t>
  </si>
  <si>
    <t xml:space="preserve">Brokkoli, frisch</t>
  </si>
  <si>
    <t xml:space="preserve">Brokkoli, gefroren</t>
  </si>
  <si>
    <t xml:space="preserve">Champignons, frisch</t>
  </si>
  <si>
    <t xml:space="preserve">Champignons, Dose</t>
  </si>
  <si>
    <t xml:space="preserve">Fenchel</t>
  </si>
  <si>
    <t xml:space="preserve">Grünkohl, frisch</t>
  </si>
  <si>
    <t xml:space="preserve">Grünkohl, Glas</t>
  </si>
  <si>
    <t xml:space="preserve">Karotten (Möhren)</t>
  </si>
  <si>
    <t xml:space="preserve">Kartoffeln, frisch</t>
  </si>
  <si>
    <t xml:space="preserve">Kartoffeln (Bio)</t>
  </si>
  <si>
    <t xml:space="preserve">Kartoffelpüreepulver</t>
  </si>
  <si>
    <t xml:space="preserve">Kohlrabi</t>
  </si>
  <si>
    <t xml:space="preserve">Kürbis</t>
  </si>
  <si>
    <t xml:space="preserve">Lauch (Porree)</t>
  </si>
  <si>
    <t xml:space="preserve">Paprika, frisch</t>
  </si>
  <si>
    <t xml:space="preserve">Rettich</t>
  </si>
  <si>
    <t xml:space="preserve">Rosenkohl, frisch</t>
  </si>
  <si>
    <t xml:space="preserve">Rosenkohl, gefroren</t>
  </si>
  <si>
    <t xml:space="preserve">Rote Bete, frisch</t>
  </si>
  <si>
    <t xml:space="preserve">Rote Bete, Glas</t>
  </si>
  <si>
    <t xml:space="preserve">Rotkohl, frisch</t>
  </si>
  <si>
    <t xml:space="preserve">Rotkohl, Glas</t>
  </si>
  <si>
    <t xml:space="preserve">Rucola</t>
  </si>
  <si>
    <t xml:space="preserve">Salatgurke</t>
  </si>
  <si>
    <t xml:space="preserve">Salatmischung, gewaschen</t>
  </si>
  <si>
    <t xml:space="preserve">Sellerie</t>
  </si>
  <si>
    <t xml:space="preserve">Spargel</t>
  </si>
  <si>
    <t xml:space="preserve">Spinat, frisch</t>
  </si>
  <si>
    <t xml:space="preserve">Spinat, gefroren</t>
  </si>
  <si>
    <t xml:space="preserve">Zucchini</t>
  </si>
  <si>
    <t xml:space="preserve">Zwiebeln, frisch</t>
  </si>
  <si>
    <t xml:space="preserve">Weißkohl, frisch</t>
  </si>
  <si>
    <t xml:space="preserve">Feldsalat</t>
  </si>
  <si>
    <t xml:space="preserve">Tomaten (Bio)</t>
  </si>
  <si>
    <t xml:space="preserve">Tomaten, Winter-Gewächshaus (DE)</t>
  </si>
  <si>
    <t xml:space="preserve">Tomaten, Durchschnitt</t>
  </si>
  <si>
    <t xml:space="preserve">Tomaten, Südeuropa Freiland</t>
  </si>
  <si>
    <t xml:space="preserve">Tomaten, Kirschtomaten</t>
  </si>
  <si>
    <t xml:space="preserve">Tomaten, Deutschland saisonal</t>
  </si>
  <si>
    <t xml:space="preserve">Tomaten, passiert (Dose)</t>
  </si>
  <si>
    <t xml:space="preserve">Tomaten, passiert (Verbundkarton)</t>
  </si>
  <si>
    <t xml:space="preserve">Tomatenmark</t>
  </si>
  <si>
    <t xml:space="preserve">Ananas, frisch</t>
  </si>
  <si>
    <t xml:space="preserve">Ananas, Dose</t>
  </si>
  <si>
    <t xml:space="preserve">Ananas, per Flugzeug</t>
  </si>
  <si>
    <t xml:space="preserve">Apfel, Durchschnitt</t>
  </si>
  <si>
    <t xml:space="preserve">Apfel (Bio)</t>
  </si>
  <si>
    <t xml:space="preserve">Avocado, Durchschnitt</t>
  </si>
  <si>
    <t xml:space="preserve">Avocado (Bio, Peru)</t>
  </si>
  <si>
    <t xml:space="preserve">Banane, frisch</t>
  </si>
  <si>
    <t xml:space="preserve">Birne</t>
  </si>
  <si>
    <t xml:space="preserve">Erdbeeren, Saison (DE)</t>
  </si>
  <si>
    <t xml:space="preserve">Erdbeeren, Winterware</t>
  </si>
  <si>
    <t xml:space="preserve">Erdbeeren, Spanien</t>
  </si>
  <si>
    <t xml:space="preserve">Erdbeeren, gefroren</t>
  </si>
  <si>
    <t xml:space="preserve">Orange (Apfelsine)</t>
  </si>
  <si>
    <t xml:space="preserve">Pfirsich, frisch</t>
  </si>
  <si>
    <t xml:space="preserve">Pfirsich, Dose</t>
  </si>
  <si>
    <t xml:space="preserve">Weintrauben, Durchschnitt</t>
  </si>
  <si>
    <t xml:space="preserve">Weintrauben, Deutschland saisonal</t>
  </si>
  <si>
    <t xml:space="preserve">Weintrauben, Italien saisonal</t>
  </si>
  <si>
    <t xml:space="preserve">Dinkel (als Reisersatz)</t>
  </si>
  <si>
    <t xml:space="preserve">Nudeln, Durchschnitt</t>
  </si>
  <si>
    <t xml:space="preserve">Nudeln (Bio)</t>
  </si>
  <si>
    <t xml:space="preserve">Reis, Durchschnitt</t>
  </si>
  <si>
    <t xml:space="preserve">Bulgur</t>
  </si>
  <si>
    <t xml:space="preserve">Brot, Mischbrot</t>
  </si>
  <si>
    <t xml:space="preserve">Brot, Mischbrot (Bio)</t>
  </si>
  <si>
    <t xml:space="preserve">Brötchen, Weißbrot</t>
  </si>
  <si>
    <t xml:space="preserve">Haferflocken, Durchschnitt</t>
  </si>
  <si>
    <t xml:space="preserve">Gnocchi</t>
  </si>
  <si>
    <t xml:space="preserve">Feinbackwaren</t>
  </si>
  <si>
    <t xml:space="preserve">Weizenmehl</t>
  </si>
  <si>
    <t xml:space="preserve">ifeu-Studie / HLNUG-Quellenliste (WWF), 2020</t>
  </si>
  <si>
    <t xml:space="preserve">Roggenmehl</t>
  </si>
  <si>
    <t xml:space="preserve">Kichererbsen, Dose</t>
  </si>
  <si>
    <t xml:space="preserve">Linsen, getrocknet</t>
  </si>
  <si>
    <t xml:space="preserve">Linsen (Bio), getrocknet</t>
  </si>
  <si>
    <t xml:space="preserve">Linsen, Dose</t>
  </si>
  <si>
    <t xml:space="preserve">Erbsen, frisch (Schoten)</t>
  </si>
  <si>
    <t xml:space="preserve">Erbsen, gefroren</t>
  </si>
  <si>
    <t xml:space="preserve">Erbsen, grün, Dose</t>
  </si>
  <si>
    <t xml:space="preserve">Erbsen, grün, Glas</t>
  </si>
  <si>
    <t xml:space="preserve">Erbsen, getrocknet</t>
  </si>
  <si>
    <t xml:space="preserve">Mais, Dose</t>
  </si>
  <si>
    <t xml:space="preserve">Tofu, Durchschnitt</t>
  </si>
  <si>
    <t xml:space="preserve">Tempeh</t>
  </si>
  <si>
    <t xml:space="preserve">Seitan</t>
  </si>
  <si>
    <t xml:space="preserve">Sojagranulat</t>
  </si>
  <si>
    <t xml:space="preserve">Lupinenmehl</t>
  </si>
  <si>
    <t xml:space="preserve">Veggie-Bratling, Sojabasis</t>
  </si>
  <si>
    <t xml:space="preserve">Veggie-Bratling, Erbsenbasis</t>
  </si>
  <si>
    <t xml:space="preserve">Gemüsenuggets/-schnitzel</t>
  </si>
  <si>
    <t xml:space="preserve">Vegane Bratwurst</t>
  </si>
  <si>
    <t xml:space="preserve">Veganer Käse (Kokosfettbasis)</t>
  </si>
  <si>
    <t xml:space="preserve">Joghurt-Ersatz, Soja</t>
  </si>
  <si>
    <t xml:space="preserve">Quark-Ersatz, Soja</t>
  </si>
  <si>
    <t xml:space="preserve">Sahne-Ersatz, Hafer</t>
  </si>
  <si>
    <t xml:space="preserve">Milch-Ersatz, Hafer</t>
  </si>
  <si>
    <t xml:space="preserve">Milch-Ersatz, Mandel</t>
  </si>
  <si>
    <t xml:space="preserve">Milch-Ersatz, Soja</t>
  </si>
  <si>
    <t xml:space="preserve">Milch-Ersatz, Dinkel</t>
  </si>
  <si>
    <t xml:space="preserve">Walnüsse, in Schale</t>
  </si>
  <si>
    <t xml:space="preserve">Erdnüsse, in Schale</t>
  </si>
  <si>
    <t xml:space="preserve">Erdnussbutter</t>
  </si>
  <si>
    <t xml:space="preserve">Sonnenblumenkerne</t>
  </si>
  <si>
    <t xml:space="preserve">Leinsamen</t>
  </si>
  <si>
    <t xml:space="preserve">Rinder-Hackfleisch</t>
  </si>
  <si>
    <t xml:space="preserve">Rinder-Hackfleisch (Bio)</t>
  </si>
  <si>
    <t xml:space="preserve">Rindfleisch (Bio)</t>
  </si>
  <si>
    <t xml:space="preserve">Rindfleisch, Durchschnitt</t>
  </si>
  <si>
    <t xml:space="preserve">Rinder-Patty, tiefgekühlt</t>
  </si>
  <si>
    <t xml:space="preserve">Wurstaufschnitt vom Rind</t>
  </si>
  <si>
    <t xml:space="preserve">Schweinefleisch (Bio)</t>
  </si>
  <si>
    <t xml:space="preserve">Schweinefleisch, Durchschnitt</t>
  </si>
  <si>
    <t xml:space="preserve">Schweinefleisch, gefroren</t>
  </si>
  <si>
    <t xml:space="preserve">Hähnchen, Durchschnitt</t>
  </si>
  <si>
    <t xml:space="preserve">Hähnchen, gefroren</t>
  </si>
  <si>
    <t xml:space="preserve">Hähnchen-Nuggets</t>
  </si>
  <si>
    <t xml:space="preserve">Hähnchen-Wurstaufschnitt</t>
  </si>
  <si>
    <t xml:space="preserve">Bratwurst, Thüringer Art</t>
  </si>
  <si>
    <t xml:space="preserve">Wildfleisch, Hirsch</t>
  </si>
  <si>
    <t xml:space="preserve">Schaf-/Ziegenfleisch</t>
  </si>
  <si>
    <t xml:space="preserve">Fisch, Aquakultur (Durchschnitt)</t>
  </si>
  <si>
    <t xml:space="preserve">Garnelen, gefroren</t>
  </si>
  <si>
    <t xml:space="preserve">Fisch, Wildfang, frisch</t>
  </si>
  <si>
    <t xml:space="preserve">Fisch, Wildfang, Massenware, gefroren</t>
  </si>
  <si>
    <t xml:space="preserve">Fisch, Wildfang, Spezialität, gefroren</t>
  </si>
  <si>
    <t xml:space="preserve">Butter, Durchschnitt</t>
  </si>
  <si>
    <t xml:space="preserve">Butter (Bio)</t>
  </si>
  <si>
    <t xml:space="preserve">Milch, Vollmilch</t>
  </si>
  <si>
    <t xml:space="preserve">Milch (Bio), Vollmilch</t>
  </si>
  <si>
    <t xml:space="preserve">Milch, fettarm</t>
  </si>
  <si>
    <t xml:space="preserve">Milch, H-Milch Vollmilch</t>
  </si>
  <si>
    <t xml:space="preserve">Milch, H-Milch fettarm</t>
  </si>
  <si>
    <t xml:space="preserve">Käse, Durchschnitt</t>
  </si>
  <si>
    <t xml:space="preserve">Käse (Bio), Durchschnitt</t>
  </si>
  <si>
    <t xml:space="preserve">Käse, Feta</t>
  </si>
  <si>
    <t xml:space="preserve">Käse, Hartkäse (Parmesan-Art)</t>
  </si>
  <si>
    <t xml:space="preserve">Käse, Hartkäse (Emmentaler-Art)</t>
  </si>
  <si>
    <t xml:space="preserve">Käse, Frischkäse</t>
  </si>
  <si>
    <t xml:space="preserve">Käse (Bio), Frischkäse</t>
  </si>
  <si>
    <t xml:space="preserve">Joghurt, natur</t>
  </si>
  <si>
    <t xml:space="preserve">Joghurt (Bio), natur</t>
  </si>
  <si>
    <t xml:space="preserve">Joghurt, Frucht</t>
  </si>
  <si>
    <t xml:space="preserve">Quark, 40% Fett</t>
  </si>
  <si>
    <t xml:space="preserve">Quark (Bio), 40% Fett</t>
  </si>
  <si>
    <t xml:space="preserve">Magerquark, 10% Fett</t>
  </si>
  <si>
    <t xml:space="preserve">Sahne</t>
  </si>
  <si>
    <t xml:space="preserve">Sahne (Bio)</t>
  </si>
  <si>
    <t xml:space="preserve">Saure Sahne</t>
  </si>
  <si>
    <t xml:space="preserve">Ei, Durchschnitt</t>
  </si>
  <si>
    <t xml:space="preserve">Kokosöl</t>
  </si>
  <si>
    <t xml:space="preserve">Margarine, vollfett</t>
  </si>
  <si>
    <t xml:space="preserve">Margarine (Bio), vollfett</t>
  </si>
  <si>
    <t xml:space="preserve">Margarine, halbfett</t>
  </si>
  <si>
    <t xml:space="preserve">Olivenöl</t>
  </si>
  <si>
    <t xml:space="preserve">Rapsöl, Durchschnitt</t>
  </si>
  <si>
    <t xml:space="preserve">Sonnenblumenöl</t>
  </si>
  <si>
    <t xml:space="preserve">Honig</t>
  </si>
  <si>
    <t xml:space="preserve">Kakaopulver</t>
  </si>
  <si>
    <t xml:space="preserve">Schokolade, Vollmilch (35% Kakao)</t>
  </si>
  <si>
    <t xml:space="preserve">Zucker, Rohrzucker</t>
  </si>
  <si>
    <t xml:space="preserve">Zucker (Bio), Rohrzucker</t>
  </si>
  <si>
    <t xml:space="preserve">Kaffeepulver, geröstet</t>
  </si>
  <si>
    <t xml:space="preserve">Bier (0,5l Glas-Mehrweg)</t>
  </si>
  <si>
    <t xml:space="preserve">Bier (0,5l Dose)</t>
  </si>
  <si>
    <t xml:space="preserve">Wein (0,75l Glas-Einweg)</t>
  </si>
  <si>
    <t xml:space="preserve">Apfelsaft (1l)</t>
  </si>
  <si>
    <t xml:space="preserve">Orangensaft (1l)</t>
  </si>
  <si>
    <t xml:space="preserve">Limonade (0,75l)</t>
  </si>
  <si>
    <t xml:space="preserve">Mineralwasser (0,7l Glas-Mehrweg)</t>
  </si>
  <si>
    <t xml:space="preserve">Leitungswasser</t>
  </si>
  <si>
    <t xml:space="preserve">Pommes frites, tiefgekühlt</t>
  </si>
  <si>
    <t xml:space="preserve">Lammfleisch</t>
  </si>
  <si>
    <t xml:space="preserve">Lamb &amp; Mutton</t>
  </si>
  <si>
    <t xml:space="preserve">Kein signifikanter Standort- oder Saisoneffekt bzw. keine belastbare separate Studie für Deutschland gefunden – globaler Poore &amp; Nemecek-Wert beibehalten.</t>
  </si>
  <si>
    <t xml:space="preserve">Lachs (Zucht)</t>
  </si>
  <si>
    <t xml:space="preserve">Fish (farmed)</t>
  </si>
  <si>
    <t xml:space="preserve">ganzjährig (Aquakultur, Import)</t>
  </si>
  <si>
    <t xml:space="preserve">In Deutschland keine relevante Lachszucht – Importware (Norwegen u.a.). Globaler Wert beibehalten.</t>
  </si>
  <si>
    <t xml:space="preserve">Mandeln</t>
  </si>
  <si>
    <t xml:space="preserve">Nuts</t>
  </si>
  <si>
    <t xml:space="preserve">Gerste (roh)</t>
  </si>
  <si>
    <t xml:space="preserve">Barley</t>
  </si>
  <si>
    <t xml:space="preserve">Zartbitterschokolade</t>
  </si>
  <si>
    <t xml:space="preserve">Dark Chocolate</t>
  </si>
  <si>
    <t xml:space="preserve">Eissalat (Freiland, Deutschland)</t>
  </si>
  <si>
    <t xml:space="preserve">ifeu 2013 (Gemüse-Bericht)</t>
  </si>
  <si>
    <t xml:space="preserve">ganzjährig (mit Vlies ab Mai, ohne ab Juni)</t>
  </si>
  <si>
    <t xml:space="preserve">ifeu (2013), Gemüse-Bericht: typischer Wert 0,6 kg CO2e/kg (Spanne 0,5–0,9). Hauptquelle: Verpackung und Kühlung im Handel, nicht der Anbau selbst. Frühjahrssalat (mit Vlies) ca. 15% höher als Sommer-/Herbstsalat, aber IMMER NOCH klimafreundlicher als importierter spanischer Eissalat.</t>
  </si>
  <si>
    <t xml:space="preserve">Rindfleisch (Ackerbau-Fütterung, Regenwald-Landnutzungsänderung)</t>
  </si>
  <si>
    <t xml:space="preserve">Beef (beef herd)</t>
  </si>
  <si>
    <t xml:space="preserve">ganzjährig (Tierhaltung)</t>
  </si>
  <si>
    <t xml:space="preserve">ifeu (2013), Fleisch-Bericht: Bei maissilagebasierter (Ackerbau-) Fütterung wird auch Sojaschrot eingesetzt. Stammt dieses von Flächen mit Regenwald-Landnutzungsänderung, steigt der CO2-Fußabdruck um mehr als 50% (von typisch 14 auf ca. 21 kg CO2e/kg). Bei grünlandbasierter Fütterung (wenig Soja) ist dieser Effekt deutlich kleiner.</t>
  </si>
  <si>
    <t xml:space="preserve">Schweinefleisch (Soja-Futter, Regenwald-Landnutzungsänderung)</t>
  </si>
  <si>
    <t xml:space="preserve">Pig Meat</t>
  </si>
  <si>
    <t xml:space="preserve">ifeu (2013), Fleisch-Bericht: Wird das importierte Soja-Futter auf Flächen angebaut, für die zuvor Regenwald gerodet wurde, kann sich der CO2-Fußabdruck von Schweinefleisch fast verdreifachen (von typisch 5 auf ca. 14 kg CO2e/kg). Wie oft das in der Praxis zutrifft, hängt von der Herkunft des Sojas ab und ist für Verbraucher nicht erkennbar – ein Grund, den Sojaanteil im Fleischkonsum insgesamt zu reduzieren.</t>
  </si>
  <si>
    <t xml:space="preserve">Basilikum, frisch</t>
  </si>
  <si>
    <t xml:space="preserve">Geschätzt (Analogie/Kategorie) — frische Kräuter</t>
  </si>
  <si>
    <t xml:space="preserve">Petersilie, frisch</t>
  </si>
  <si>
    <t xml:space="preserve">Schnittlauch, frisch</t>
  </si>
  <si>
    <t xml:space="preserve">Dill, frisch</t>
  </si>
  <si>
    <t xml:space="preserve">Koriander, frisch</t>
  </si>
  <si>
    <t xml:space="preserve">Minze, frisch</t>
  </si>
  <si>
    <t xml:space="preserve">Rosmarin, frisch</t>
  </si>
  <si>
    <t xml:space="preserve">Thymian, frisch</t>
  </si>
  <si>
    <t xml:space="preserve">Salbei, frisch</t>
  </si>
  <si>
    <t xml:space="preserve">Oregano, frisch</t>
  </si>
  <si>
    <t xml:space="preserve">Majoran, frisch</t>
  </si>
  <si>
    <t xml:space="preserve">Estragon, frisch</t>
  </si>
  <si>
    <t xml:space="preserve">Kerbel, frisch</t>
  </si>
  <si>
    <t xml:space="preserve">Liebstöckel, frisch</t>
  </si>
  <si>
    <t xml:space="preserve">Bohnenkraut, frisch</t>
  </si>
  <si>
    <t xml:space="preserve">Lorbeerblatt, getrocknet</t>
  </si>
  <si>
    <t xml:space="preserve">Zitronengras, frisch</t>
  </si>
  <si>
    <t xml:space="preserve">Ingwer, frisch</t>
  </si>
  <si>
    <t xml:space="preserve">Knoblauch, frisch</t>
  </si>
  <si>
    <t xml:space="preserve">Bärlauch, frisch</t>
  </si>
  <si>
    <t xml:space="preserve">Paprikapulver, edelsüß</t>
  </si>
  <si>
    <t xml:space="preserve">Geschätzt (Analogie/Kategorie) — getrocknete Gewürze</t>
  </si>
  <si>
    <t xml:space="preserve">Paprikapulver, scharf</t>
  </si>
  <si>
    <t xml:space="preserve">Currypulver</t>
  </si>
  <si>
    <t xml:space="preserve">Kreuzkümmel, gemahlen</t>
  </si>
  <si>
    <t xml:space="preserve">Zimt, gemahlen</t>
  </si>
  <si>
    <t xml:space="preserve">Muskatnuss, gemahlen</t>
  </si>
  <si>
    <t xml:space="preserve">Nelken, gemahlen</t>
  </si>
  <si>
    <t xml:space="preserve">Kardamom, gemahlen</t>
  </si>
  <si>
    <t xml:space="preserve">Chilipulver/Cayennepfeffer</t>
  </si>
  <si>
    <t xml:space="preserve">Kümmel, ganz</t>
  </si>
  <si>
    <t xml:space="preserve">Fenchelsamen</t>
  </si>
  <si>
    <t xml:space="preserve">Anis</t>
  </si>
  <si>
    <t xml:space="preserve">Sternanis</t>
  </si>
  <si>
    <t xml:space="preserve">Vanilleschote</t>
  </si>
  <si>
    <t xml:space="preserve">Safran</t>
  </si>
  <si>
    <t xml:space="preserve">Piment</t>
  </si>
  <si>
    <t xml:space="preserve">Pfeffer, schwarz, gemahlen</t>
  </si>
  <si>
    <t xml:space="preserve">Pfeffer, weiß, gemahlen</t>
  </si>
  <si>
    <t xml:space="preserve">Senfkörner, gelb</t>
  </si>
  <si>
    <t xml:space="preserve">Meersalz</t>
  </si>
  <si>
    <t xml:space="preserve">Speisesalz, raffiniert</t>
  </si>
  <si>
    <t xml:space="preserve">Senf, mittelscharf</t>
  </si>
  <si>
    <t xml:space="preserve">Geschätzt (Analogie/Kategorie) — Saucen/Kondimente</t>
  </si>
  <si>
    <t xml:space="preserve">Ketchup</t>
  </si>
  <si>
    <t xml:space="preserve">Mayonnaise</t>
  </si>
  <si>
    <t xml:space="preserve">Sojasauce</t>
  </si>
  <si>
    <t xml:space="preserve">Worcestersauce</t>
  </si>
  <si>
    <t xml:space="preserve">Balsamico-Essig</t>
  </si>
  <si>
    <t xml:space="preserve">Weinessig</t>
  </si>
  <si>
    <t xml:space="preserve">Apfelessig</t>
  </si>
  <si>
    <t xml:space="preserve">Pesto, grün (Basilikum)</t>
  </si>
  <si>
    <t xml:space="preserve">Tahini (Sesampaste)</t>
  </si>
  <si>
    <t xml:space="preserve">Hummus</t>
  </si>
  <si>
    <t xml:space="preserve">Guacamole</t>
  </si>
  <si>
    <t xml:space="preserve">Salsa (Tomatensalsa)</t>
  </si>
  <si>
    <t xml:space="preserve">Sambal Oelek</t>
  </si>
  <si>
    <t xml:space="preserve">Fischsauce</t>
  </si>
  <si>
    <t xml:space="preserve">Sriracha-Sauce</t>
  </si>
  <si>
    <t xml:space="preserve">BBQ-Sauce</t>
  </si>
  <si>
    <t xml:space="preserve">Tzatziki</t>
  </si>
  <si>
    <t xml:space="preserve">Oliven, grün, eingelegt</t>
  </si>
  <si>
    <t xml:space="preserve">Oliven, schwarz, eingelegt</t>
  </si>
  <si>
    <t xml:space="preserve">Kapern, eingelegt</t>
  </si>
  <si>
    <t xml:space="preserve">Pak Choi</t>
  </si>
  <si>
    <t xml:space="preserve">Geschätzt (Analogie/Kategorie) — weiteres Gemüse</t>
  </si>
  <si>
    <t xml:space="preserve">Chinakohl</t>
  </si>
  <si>
    <t xml:space="preserve">Mangold</t>
  </si>
  <si>
    <t xml:space="preserve">Radicchio</t>
  </si>
  <si>
    <t xml:space="preserve">Chicorée</t>
  </si>
  <si>
    <t xml:space="preserve">Endivie</t>
  </si>
  <si>
    <t xml:space="preserve">Schwarzwurzel</t>
  </si>
  <si>
    <t xml:space="preserve">Topinambur</t>
  </si>
  <si>
    <t xml:space="preserve">Pastinake</t>
  </si>
  <si>
    <t xml:space="preserve">Steckrübe</t>
  </si>
  <si>
    <t xml:space="preserve">Okra</t>
  </si>
  <si>
    <t xml:space="preserve">Süßkartoffel</t>
  </si>
  <si>
    <t xml:space="preserve">Artischocke</t>
  </si>
  <si>
    <t xml:space="preserve">Zuckerschoten</t>
  </si>
  <si>
    <t xml:space="preserve">Bambussprossen</t>
  </si>
  <si>
    <t xml:space="preserve">Löwenzahnblätter</t>
  </si>
  <si>
    <t xml:space="preserve">Batavia-Salat</t>
  </si>
  <si>
    <t xml:space="preserve">Lollo Rosso</t>
  </si>
  <si>
    <t xml:space="preserve">Eichblattsalat</t>
  </si>
  <si>
    <t xml:space="preserve">Kirschen</t>
  </si>
  <si>
    <t xml:space="preserve">Geschätzt (Analogie/Kategorie) — weiteres Obst</t>
  </si>
  <si>
    <t xml:space="preserve">Pflaumen/Zwetschgen</t>
  </si>
  <si>
    <t xml:space="preserve">Mirabellen</t>
  </si>
  <si>
    <t xml:space="preserve">Aprikosen, frisch</t>
  </si>
  <si>
    <t xml:space="preserve">Quitte</t>
  </si>
  <si>
    <t xml:space="preserve">Holunderbeeren</t>
  </si>
  <si>
    <t xml:space="preserve">Johannisbeeren, rot</t>
  </si>
  <si>
    <t xml:space="preserve">Johannisbeeren, schwarz</t>
  </si>
  <si>
    <t xml:space="preserve">Stachelbeeren</t>
  </si>
  <si>
    <t xml:space="preserve">Heidelbeeren</t>
  </si>
  <si>
    <t xml:space="preserve">Brombeeren</t>
  </si>
  <si>
    <t xml:space="preserve">Himbeeren</t>
  </si>
  <si>
    <t xml:space="preserve">Preiselbeeren</t>
  </si>
  <si>
    <t xml:space="preserve">Cranberries, frisch</t>
  </si>
  <si>
    <t xml:space="preserve">Zitrone</t>
  </si>
  <si>
    <t xml:space="preserve">Limette</t>
  </si>
  <si>
    <t xml:space="preserve">Grapefruit</t>
  </si>
  <si>
    <t xml:space="preserve">Mandarine/Clementine</t>
  </si>
  <si>
    <t xml:space="preserve">Kiwi</t>
  </si>
  <si>
    <t xml:space="preserve">Mango</t>
  </si>
  <si>
    <t xml:space="preserve">Papaya</t>
  </si>
  <si>
    <t xml:space="preserve">Litschi</t>
  </si>
  <si>
    <t xml:space="preserve">Granatapfel</t>
  </si>
  <si>
    <t xml:space="preserve">Feigen, frisch</t>
  </si>
  <si>
    <t xml:space="preserve">Kaki/Persimmon</t>
  </si>
  <si>
    <t xml:space="preserve">Maracuja</t>
  </si>
  <si>
    <t xml:space="preserve">Physalis</t>
  </si>
  <si>
    <t xml:space="preserve">Rosinen</t>
  </si>
  <si>
    <t xml:space="preserve">Aprikosen, getrocknet</t>
  </si>
  <si>
    <t xml:space="preserve">Datteln, getrocknet</t>
  </si>
  <si>
    <t xml:space="preserve">Feigen, getrocknet</t>
  </si>
  <si>
    <t xml:space="preserve">Pflaumen, getrocknet</t>
  </si>
  <si>
    <t xml:space="preserve">Hering</t>
  </si>
  <si>
    <t xml:space="preserve">Geschätzt (Analogie/Kategorie) — Fisch/Meeresfrüchte</t>
  </si>
  <si>
    <t xml:space="preserve">Makrele</t>
  </si>
  <si>
    <t xml:space="preserve">Sardine, frisch</t>
  </si>
  <si>
    <t xml:space="preserve">Sardelle/Anchovis</t>
  </si>
  <si>
    <t xml:space="preserve">Kabeljau/Dorsch</t>
  </si>
  <si>
    <t xml:space="preserve">Seelachs/Pollack</t>
  </si>
  <si>
    <t xml:space="preserve">Scholle</t>
  </si>
  <si>
    <t xml:space="preserve">Seezunge</t>
  </si>
  <si>
    <t xml:space="preserve">Zander</t>
  </si>
  <si>
    <t xml:space="preserve">Barsch (Flussbarsch)</t>
  </si>
  <si>
    <t xml:space="preserve">Thunfisch, frisch</t>
  </si>
  <si>
    <t xml:space="preserve">Thunfisch, Dose (Öl)</t>
  </si>
  <si>
    <t xml:space="preserve">Schwertfisch</t>
  </si>
  <si>
    <t xml:space="preserve">Rotbarsch</t>
  </si>
  <si>
    <t xml:space="preserve">Wels/Pangasius (Zucht)</t>
  </si>
  <si>
    <t xml:space="preserve">Aal</t>
  </si>
  <si>
    <t xml:space="preserve">Forelle (Zucht)</t>
  </si>
  <si>
    <t xml:space="preserve">Karpfen (Teichwirtschaft)</t>
  </si>
  <si>
    <t xml:space="preserve">Miesmuscheln</t>
  </si>
  <si>
    <t xml:space="preserve">Austern</t>
  </si>
  <si>
    <t xml:space="preserve">Jakobsmuscheln</t>
  </si>
  <si>
    <t xml:space="preserve">Tintenfisch/Calamari</t>
  </si>
  <si>
    <t xml:space="preserve">Oktopus</t>
  </si>
  <si>
    <t xml:space="preserve">Krebs/Taschenkrebs</t>
  </si>
  <si>
    <t xml:space="preserve">Hummer</t>
  </si>
  <si>
    <t xml:space="preserve">Räucherlachs</t>
  </si>
  <si>
    <t xml:space="preserve">Matjes/Hering eingelegt</t>
  </si>
  <si>
    <t xml:space="preserve">Fischstäbchen</t>
  </si>
  <si>
    <t xml:space="preserve">Surimi</t>
  </si>
  <si>
    <t xml:space="preserve">Kalbfleisch</t>
  </si>
  <si>
    <t xml:space="preserve">Geschätzt (Analogie/Kategorie) — weiteres Fleisch/Geflügel/Innereien</t>
  </si>
  <si>
    <t xml:space="preserve">Pute/Truthahn</t>
  </si>
  <si>
    <t xml:space="preserve">Ente</t>
  </si>
  <si>
    <t xml:space="preserve">Gans</t>
  </si>
  <si>
    <t xml:space="preserve">Kaninchen</t>
  </si>
  <si>
    <t xml:space="preserve">Wachtel</t>
  </si>
  <si>
    <t xml:space="preserve">Leber, Rind</t>
  </si>
  <si>
    <t xml:space="preserve">Leber, Schwein</t>
  </si>
  <si>
    <t xml:space="preserve">Leber, Huhn/Geflügel</t>
  </si>
  <si>
    <t xml:space="preserve">Niere, Rind/Schwein</t>
  </si>
  <si>
    <t xml:space="preserve">Herz, Rind/Schwein</t>
  </si>
  <si>
    <t xml:space="preserve">Zunge, Rind</t>
  </si>
  <si>
    <t xml:space="preserve">Speck/Bacon</t>
  </si>
  <si>
    <t xml:space="preserve">Schinken, roh (Parma-Art)</t>
  </si>
  <si>
    <t xml:space="preserve">Schinken, gekocht</t>
  </si>
  <si>
    <t xml:space="preserve">Salami</t>
  </si>
  <si>
    <t xml:space="preserve">Leberwurst</t>
  </si>
  <si>
    <t xml:space="preserve">Blutwurst</t>
  </si>
  <si>
    <t xml:space="preserve">Mortadella</t>
  </si>
  <si>
    <t xml:space="preserve">Corned Beef</t>
  </si>
  <si>
    <t xml:space="preserve">Chorizo</t>
  </si>
  <si>
    <t xml:space="preserve">Frankfurter Würstchen</t>
  </si>
  <si>
    <t xml:space="preserve">Kasseler</t>
  </si>
  <si>
    <t xml:space="preserve">Gouda</t>
  </si>
  <si>
    <t xml:space="preserve">Geschätzt (Analogie/Kategorie) — Käsesorten</t>
  </si>
  <si>
    <t xml:space="preserve">Edamer</t>
  </si>
  <si>
    <t xml:space="preserve">Mozzarella</t>
  </si>
  <si>
    <t xml:space="preserve">Burrata</t>
  </si>
  <si>
    <t xml:space="preserve">Ricotta</t>
  </si>
  <si>
    <t xml:space="preserve">Brie</t>
  </si>
  <si>
    <t xml:space="preserve">Camembert</t>
  </si>
  <si>
    <t xml:space="preserve">Blauschimmelkäse (Gorgonzola-Art)</t>
  </si>
  <si>
    <t xml:space="preserve">Ziegenkäse, weich</t>
  </si>
  <si>
    <t xml:space="preserve">Schafskäse</t>
  </si>
  <si>
    <t xml:space="preserve">Hüttenkäse</t>
  </si>
  <si>
    <t xml:space="preserve">Schmelzkäse</t>
  </si>
  <si>
    <t xml:space="preserve">Tilsiter</t>
  </si>
  <si>
    <t xml:space="preserve">Bergkäse</t>
  </si>
  <si>
    <t xml:space="preserve">Halloumi</t>
  </si>
  <si>
    <t xml:space="preserve">Provolone</t>
  </si>
  <si>
    <t xml:space="preserve">Mascarpone</t>
  </si>
  <si>
    <t xml:space="preserve">Frischkäse, körnig (Cottage-Art)</t>
  </si>
  <si>
    <t xml:space="preserve">Räucherkäse</t>
  </si>
  <si>
    <t xml:space="preserve">Appenzeller/Raclette-Käse</t>
  </si>
  <si>
    <t xml:space="preserve">Quinoa</t>
  </si>
  <si>
    <t xml:space="preserve">Geschätzt (Analogie/Kategorie) — Getreide/Pseudogetreide</t>
  </si>
  <si>
    <t xml:space="preserve">Hirse</t>
  </si>
  <si>
    <t xml:space="preserve">Buchweizen</t>
  </si>
  <si>
    <t xml:space="preserve">Amaranth</t>
  </si>
  <si>
    <t xml:space="preserve">Couscous</t>
  </si>
  <si>
    <t xml:space="preserve">Grieß (Weizen)</t>
  </si>
  <si>
    <t xml:space="preserve">Polenta/Maisgrieß</t>
  </si>
  <si>
    <t xml:space="preserve">Basmatireis</t>
  </si>
  <si>
    <t xml:space="preserve">Jasminreis</t>
  </si>
  <si>
    <t xml:space="preserve">Risottoreis/Arborio</t>
  </si>
  <si>
    <t xml:space="preserve">Wildreis</t>
  </si>
  <si>
    <t xml:space="preserve">Graupen (Gerste geschält)</t>
  </si>
  <si>
    <t xml:space="preserve">Haferkleie</t>
  </si>
  <si>
    <t xml:space="preserve">Weizenkleie</t>
  </si>
  <si>
    <t xml:space="preserve">Popcorn, ungesüßt</t>
  </si>
  <si>
    <t xml:space="preserve">Cornflakes</t>
  </si>
  <si>
    <t xml:space="preserve">Kidneybohnen, getrocknet</t>
  </si>
  <si>
    <t xml:space="preserve">Geschätzt (Analogie/Kategorie) — weitere Hülsenfrüchte</t>
  </si>
  <si>
    <t xml:space="preserve">Schwarze Bohnen, getrocknet</t>
  </si>
  <si>
    <t xml:space="preserve">Pintobohnen, getrocknet</t>
  </si>
  <si>
    <t xml:space="preserve">Limabohnen, getrocknet</t>
  </si>
  <si>
    <t xml:space="preserve">Mungobohnen, getrocknet</t>
  </si>
  <si>
    <t xml:space="preserve">Adzukibohnen, getrocknet</t>
  </si>
  <si>
    <t xml:space="preserve">Augenbohnen, getrocknet</t>
  </si>
  <si>
    <t xml:space="preserve">Sojabohnen, ganz, getrocknet</t>
  </si>
  <si>
    <t xml:space="preserve">Edamame</t>
  </si>
  <si>
    <t xml:space="preserve">Wachtelbohnen (Borlotti)</t>
  </si>
  <si>
    <t xml:space="preserve">Kichererbsenmehl</t>
  </si>
  <si>
    <t xml:space="preserve">Vollkornbrot</t>
  </si>
  <si>
    <t xml:space="preserve">Geschätzt (Analogie/Kategorie) — Backwaren</t>
  </si>
  <si>
    <t xml:space="preserve">Roggenbrot</t>
  </si>
  <si>
    <t xml:space="preserve">Sauerteigbrot</t>
  </si>
  <si>
    <t xml:space="preserve">Toastbrot</t>
  </si>
  <si>
    <t xml:space="preserve">Baguette</t>
  </si>
  <si>
    <t xml:space="preserve">Ciabatta</t>
  </si>
  <si>
    <t xml:space="preserve">Fladenbrot/Naan</t>
  </si>
  <si>
    <t xml:space="preserve">Pita</t>
  </si>
  <si>
    <t xml:space="preserve">Brezel</t>
  </si>
  <si>
    <t xml:space="preserve">Blätterteig</t>
  </si>
  <si>
    <t xml:space="preserve">Pizzateig</t>
  </si>
  <si>
    <t xml:space="preserve">Tortilla-Wrap (Weizen)</t>
  </si>
  <si>
    <t xml:space="preserve">Knäckebrot</t>
  </si>
  <si>
    <t xml:space="preserve">Zwieback</t>
  </si>
  <si>
    <t xml:space="preserve">Butterkeks</t>
  </si>
  <si>
    <t xml:space="preserve">Steinpilze, frisch</t>
  </si>
  <si>
    <t xml:space="preserve">Geschätzt (Analogie/Kategorie) — Pilze</t>
  </si>
  <si>
    <t xml:space="preserve">Pfifferlinge, frisch</t>
  </si>
  <si>
    <t xml:space="preserve">Austernpilze, frisch</t>
  </si>
  <si>
    <t xml:space="preserve">Shiitake, frisch</t>
  </si>
  <si>
    <t xml:space="preserve">Kräuterseitlinge, frisch</t>
  </si>
  <si>
    <t xml:space="preserve">Portobello</t>
  </si>
  <si>
    <t xml:space="preserve">Trüffel</t>
  </si>
  <si>
    <t xml:space="preserve">Pilze, getrocknet (Mix)</t>
  </si>
  <si>
    <t xml:space="preserve">kg CO2e je kg (Deutschland/Saison)</t>
  </si>
  <si>
    <t xml:space="preserve">g CO2e je kcal (gesamt)</t>
  </si>
  <si>
    <t xml:space="preserve">g CO2e je kcal aus Fett</t>
  </si>
  <si>
    <t xml:space="preserve">g CO2e je kcal aus Eiweiß</t>
  </si>
  <si>
    <t xml:space="preserve">g CO2e je kcal aus Kohlenhydraten</t>
  </si>
  <si>
    <t xml:space="preserve">g CO2e je µg Vitamin A</t>
  </si>
  <si>
    <t xml:space="preserve">g CO2e je mg Vitamin C</t>
  </si>
  <si>
    <t xml:space="preserve">g CO2e je µg Vitamin D</t>
  </si>
  <si>
    <t xml:space="preserve">g CO2e je mg Vitamin E</t>
  </si>
  <si>
    <t xml:space="preserve">g CO2e je µg Vitamin K</t>
  </si>
  <si>
    <t xml:space="preserve">g CO2e je mg Vitamin B1</t>
  </si>
  <si>
    <t xml:space="preserve">g CO2e je mg Vitamin B2</t>
  </si>
  <si>
    <t xml:space="preserve">g CO2e je mg Niacin</t>
  </si>
  <si>
    <t xml:space="preserve">g CO2e je mg Vitamin B6</t>
  </si>
  <si>
    <t xml:space="preserve">g CO2e je µg Folat</t>
  </si>
  <si>
    <t xml:space="preserve">g CO2e je µg Vitamin B12</t>
  </si>
  <si>
    <t xml:space="preserve">g CO2e je mg Calcium</t>
  </si>
  <si>
    <t xml:space="preserve">g CO2e je mg Eisen</t>
  </si>
  <si>
    <t xml:space="preserve">g CO2e je mg Magnesium</t>
  </si>
  <si>
    <t xml:space="preserve">g CO2e je mg Zink</t>
  </si>
  <si>
    <t xml:space="preserve">g CO2e je mg Kalium</t>
  </si>
  <si>
    <t xml:space="preserve">Methodik &amp; Quellen – CO2-Rucksack von Lebensmitteln</t>
  </si>
  <si>
    <t xml:space="preserve">0. Umfang dieser Version (420 Lebensmittel)</t>
  </si>
  <si>
    <t xml:space="preserve">Diese Tabelle wurde von 44 auf 420 Lebensmittel erweitert. Davon stammen 185 aus direkt ausgewerteten Primärquellen (177 aus der ifeu-Studie 2020 "Ökologische Fußabdrücke von Lebensmitteln und Gerichten in Deutschland", vermittelt über die Quellenliste des CO2-Rechners der hessischen Umweltverwaltung HLNUG, sowie 8 aus den zuvor ausgewerteten ifeu-Studien 2013/Poore &amp; Nemecek/Thünen-Institut). Die übrigen 235 Positionen (v.a. Kräuter/Gewürze, weiteres Obst/Gemüse, Fisch-/Fleischarten, Käsesorten, Getreide, Backwaren, Pilze) sind AUSDRÜCKLICH GESCHÄTZT: der CO2-Wert wurde in Analogie zu einem passenden, primär belegten Ankerwert derselben Kategorie abgeleitet (z.B. Walnüsse in Analogie zu Mandeln, Ente in Analogie zu Hähnchen/Schwein). Jede Zeile zeigt in Spalte G ('Hinweis'), ob es sich um eine ifeu-Primärquelle oder eine Schätzung handelt. 1.000 Lebensmittel wie ursprünglich gewünscht wurden in diesem Durchgang nicht erreicht – die einzeln geprüfte, gut belegte CO2-Forschung zu Lebensmitteln ist schlicht nicht so umfangreich; darüber hinaus zu gehen hätte die Qualität der Schätzungen weiter verwässert. Gerne erweitere ich in einem weiteren Schritt um weitere Kategorien (z.B. internationale/asiatische Zutaten, weitere Getränke), falls gewünscht.</t>
  </si>
  <si>
    <t xml:space="preserve">1. CO2-Daten: Basiswert Deutschland/Saison vs. globaler Referenzwert</t>
  </si>
  <si>
    <t xml:space="preserve">Ab dieser Version wird zwischen einem globalen Referenzwert und einem für Deutschland bzw. die Saison angepassten Basiswert unterschieden. Nur der Deutschland/Saison-Wert (Blatt 'Rohdaten', Spalte C) fließt in die Berechnungen auf dem Blatt 'CO2 pro Nährstoff' ein.</t>
  </si>
  <si>
    <t xml:space="preserve">NEU: Bei Lebensmitteln mit mehreren realistisch unterscheidbaren Anbau- oder Haltungsvarianten (z.B. Tomaten aus beheiztem Gewächshaus vs. Folientunnel vs. Import) steht jede Variante als EIGENE ZEILE in der Tabelle, mit eigenem CO2-Wert – statt einer einzigen gemittelten Zeile. So lässt sich z.B. direkt vergleichen, wie stark sich die Wahl der Anbauart auf den CO2-Fußabdruck auswirkt, ohne dass diese Information in einem Durchschnittswert verloren geht. Betroffen sind: Tomaten (3 Varianten), Erdbeeren (2 Varianten), Schweinefleisch und Rindfleisch (je 1 zusätzliche Worst-Case-Variante bei Landnutzungsänderung durch Soja-Futter).</t>
  </si>
  <si>
    <t xml:space="preserve">Globale Referenzquelle: Poore, J., &amp; Nemecek, T. (2018). "Reducing food's environmental impacts through producers and consumers." Science, 360(6392), 987-992. Aufbereitet von Our World in Data: https://ourworldindata.org/grapher/ghg-per-kg-poore (abgerufen 07.09.2026). Bei den neuen Anbau-/Haltungsvarianten (z.B. den 3 Tomaten-Zeilen) gibt es keine eigene globale Entsprechung; dort bleibt die Spalte D leer.</t>
  </si>
  <si>
    <t xml:space="preserve">Deutschland-spezifische Quellen, VOLLSTÄNDIG ausgewertet: ifeu – Institut für Energie- und Umweltforschung Heidelberg, "CO2-Fußabdruck und Umweltbilanz von Fleisch aus Baden-Württemberg" (2013, 60 Seiten) für Rind-/Schweinefleisch inkl. Landnutzungsänderungs-Szenarien; "CO2-Fußabdruck und weitere Umweltwirkungen von Gemüse aus Baden-Württemberg" (2013, 63 Seiten) für Tomaten (3 Anbausysteme), Eissalat und Weißkohl. Beide Studien vollständig gelesen und alle enthaltenen quantitativen CO2-Werte je Produktlinie in diese Tabelle übernommen. Für Milch: Thünen-Institut/Bayerische Landesanstalt für Landwirtschaft, diverse Studien zu Treibhausgas-Fußabdrücken deutscher Milchviehbetriebe. Journalistisch aufbereitete Sekundärquellen nur noch für Erdbeeren (utopia.de, greenya.de, sevencooks.com), da diese NICHT Teil der ifeu-Gemüsestudie sind – dort deutlich weniger belastbar als bei Tomaten/Eissalat/Weißkohl.</t>
  </si>
  <si>
    <t xml:space="preserve">WICHTIGER BEFUND zur Saisonalität (Tomaten): 'Regional' ist nicht automatisch klimafreundlicher als 'importiert'. Tomaten aus deutschem beheiztem Gewächshaus verursachen laut ifeu im typischen Fall 3,0 kg CO2e/kg (Spanne 1,0–5,8) – der Heizenergiebedarf macht dabei ca. 80% der Emissionen aus. Tomaten aus unbeheiztem Folientunnel (regional, aber nur Juni–Oktober verfügbar) liegen bei nur 0,7 kg/kg. Importierte Tomaten aus Südspanien (unbeheizt) liegen mit ca. 0,4 kg/kg laut ifeu SOGAR UNTER der regionalen Folientunnel-Ware – selbst mit der klimafreundlichsten Gewächshausheizung (Holzhackschnitzel-BHKW) bleibt deutsches Gewächshausgemüse im Winter schlechter als spanischer Import trotz ~2.000 km Transportweg. Transport macht bei Gemüse nur einen kleinen Teil des Fußabdrucks aus.</t>
  </si>
  <si>
    <t xml:space="preserve">Bei Eissalat und Weißkohl ist die Situation anders: Hier ist regionaler Freilandanbau (0,6 bzw. 0,4 kg CO2e/kg) laut ifeu SELBST IM FRÜHJAHR mit Vliesabdeckung noch klimafreundlicher als spanischer Import, weil kein Gewächshaus mit Heizung benötigt wird.</t>
  </si>
  <si>
    <t xml:space="preserve">Bei Rindfleisch, Schweinefleisch und Milch liegen die deutschen Standard-Werte JEWEILS UNTER dem globalen Durchschnitt – weil die globalen Poore&amp;Nemecek-Mittelwerte auch besonders emissionsintensive extensive Weidehaltungssysteme mit Waldrodung (v.a. Südamerika) einschließen. ABER: Wird das Kraftfutter (v.a. Sojaschrot) für deutsche Mastbetriebe auf Flächen mit Regenwald-Landnutzungsänderung angebaut, kehrt sich dieser Vorteil teilweise um – siehe die beiden neuen Landnutzungsänderungs-Zeilen (Schweinefleisch: 5→14 kg/kg, Rindfleisch: 14→21 kg/kg). Für Verbraucher ist diese Herkunft an der Ladentheke i.d.R. nicht erkennbar.</t>
  </si>
  <si>
    <t xml:space="preserve">Käse wurde mangels eigener deutscher Studie näherungsweise über das Deutschland/Global-Verhältnis von Milch abgeleitet (Faktor ≈0,41) – dies ist eine Schätzung, keine Primärmessung, und im Blatt 'Rohdaten' entsprechend gekennzeichnet.</t>
  </si>
  <si>
    <t xml:space="preserve">Kaffee bezieht sich auf gerösteten, trockenen Kaffee (Rohware), nicht auf den fertigen Aufguss – ebenso Wein auf das Fertigprodukt inkl. Weinbereitung, nicht auf die Trauben.</t>
  </si>
  <si>
    <t xml:space="preserve">Ergänzung für die Rezeptsammlung: Rapsöl ist bei Poore &amp; Nemecek nicht einzeln aufgeführt. Der Wert (2,49 kg CO2e/kg) stammt aus Alcock et al. (2022), Science of the Total Environment – einer Meta-Analyse von ~6.000 Betrieben zu Pflanzenölen; Rapsöl schneidet darin von allen untersuchten Ölen am besten ab. Nudeln wurden der Kategorie "Wheat &amp; Rye" zugeordnet (gleicher Rohstoff wie Weizenbrot).</t>
  </si>
  <si>
    <t xml:space="preserve">Wichtig für Rezept-Berechnungen: Linsen, Reis, Gerste, Nudeln und Kartoffeln sind auf ROH-/Trockengewicht bezogen (wie eingekauft), nicht auf gekochtes/gegartes Gewicht – denn die CO2-Werte von Poore &amp; Nemecek beziehen sich auf das gehandelte Rohprodukt. Würde man stattdessen mit gekochtem Gewicht rechnen (das durch Wasseraufnahme beim Kochen 2- bis 3-fach zunimmt), würde der CO2-Fußabdruck pro Kalorie/Nährstoff spürbar zu hoch ausgewiesen. Erbsen und Mais sind dagegen als verzehrfertiges Gemüse (TK/Dose) hinterlegt, da sie in der Küche i.d.R. so verwendet werden, nicht als Trockenware.</t>
  </si>
  <si>
    <t xml:space="preserve">2. Nährwertdaten</t>
  </si>
  <si>
    <t xml:space="preserve">Nährwerte je 100 g (Kalorien, Makronährstoffe, Vitamine, Mineralstoffe) sind typische/repräsentative Werte in Anlehnung an gängige Nährwerttabellen (USDA FoodData Central, Bundeslebensmittelschlüssel). Da die CO2-Kategorien von Poore &amp; Nemecek teils breite Warengruppen sind (z.B. "Other Vegetables", "Root Vegetables"), wurde je Kategorie ein typisches Beispielprodukt gewählt (siehe Spalte 'OWID-Kategorie' im Blatt 'Rohdaten'). Reale Werte schwanken je nach Sorte, Reifegrad, Zubereitung, Boden und Lagerung teils erheblich – die Tabelle bildet Größenordnungen ab, keine Laboranalyse eines konkreten Produkts.</t>
  </si>
  <si>
    <t xml:space="preserve">3. Auswahl der Vitamine &amp; Mineralstoffe (DGE-Referenzwerte)</t>
  </si>
  <si>
    <t xml:space="preserve">Die Deutsche Gesellschaft für Ernährung (DGE) veröffentlicht gemeinsam mit der Österreichischen und Schweizerischen Gesellschaft für Ernährung die D-A-CH-Referenzwerte für die Nährstoffzufuhr (dge.de/wissenschaft/referenzwerte). Diese benennen Zufuhrempfehlungen für 13 Vitamine (A, D, E, K, B1, B2, Niacin, B6, Folat, B12, Pantothensäure, Biotin, C) und 14 Mineralstoffe/Spurenelemente (Natrium, Chlorid, Kalium, Calcium, Phosphor, Magnesium, Eisen, Jod, Zink, Selen, Kupfer, Mangan, Chrom, Molybdän).</t>
  </si>
  <si>
    <t xml:space="preserve">In dieser Tabelle sind 16 davon abgebildet: alle 13 Vitamine außer Pantothensäure und Biotin, sowie 3 Mineralstoffe (Calcium, Eisen, Magnesium, Zink, Kalium – 5 statt 3, s.u.). Pantothensäure, Biotin, Phosphor, Natrium, Chlorid, Jod, Selen, Kupfer, Mangan, Chrom und Molybdän wurden bewusst weggelassen, da für sie in Standard-Nährwerttabellen häufig keine verlässlichen, gut vergleichbaren Werte je Lebensmittel vorliegen (z.B. ist der Jod- und Selengehalt pflanzlicher Lebensmittel stark bodenabhängig und in Tabellenwerken uneinheitlich).</t>
  </si>
  <si>
    <t xml:space="preserve">4. Berechnungsformeln (Blatt 'CO2 pro Nährstoff')</t>
  </si>
  <si>
    <t xml:space="preserve">Alle Zellen sind Formeln, die auf das Blatt 'Rohdaten' verweisen – änderst du dort einen Wert, aktualisiert sich die Berechnung automatisch.</t>
  </si>
  <si>
    <t xml:space="preserve">g CO2e je kcal = (CO2e je kg Lebensmittel in Gramm) ÷ (kcal je kg Lebensmittel)</t>
  </si>
  <si>
    <t xml:space="preserve">g CO2e je kcal aus Fett/Eiweiß/Kohlenhydraten = CO2e je kg (in Gramm) ÷ (Gramm des Nährstoffs je kg × Energiefaktor). Energiefaktoren: Fett 9 kcal/g, Eiweiß 4 kcal/g, Kohlenhydrate 4 kcal/g (Atwater-Faktoren).</t>
  </si>
  <si>
    <t xml:space="preserve">g CO2e je Einheit Vitamin/Mineralstoff = CO2e je kg (in Gramm) ÷ (Menge des Nährstoffs je kg, in mg bzw. µg – Einheit siehe Spaltenkopf).</t>
  </si>
  <si>
    <t xml:space="preserve">Zellen mit "–" bedeuten: der Nährstoffgehalt ist 0 (z.B. Vitamin C in Rindfleisch) – eine Division durch 0 ist nicht sinnvoll auswertbar.</t>
  </si>
  <si>
    <t xml:space="preserve">5. Wichtiger Interpretationshinweis</t>
  </si>
  <si>
    <t xml:space="preserve">Diese Kennzahlen sagen NICHT, dass ein Lebensmittel mit niedrigem "CO2 je Nährstoff"-Wert automatisch klimafreundlich ist – sie zeigen nur, wie effizient das CO2-Budget eines Lebensmittels in Bezug auf einen einzelnen Nährstoff ist. Ein Lebensmittel kann bei einem Nährstoff sehr effizient sein und beim CO2 je kg trotzdem hoch liegen (z.B. Käse: hoher Calciumgehalt bei gleichzeitig hohem CO2e je kg). Für eine vollständige Bewertung immer beide Spalten (absolut je kg UND je Nährstoff) gemeinsam betrachten.</t>
  </si>
  <si>
    <t xml:space="preserve">6. Erstellt</t>
  </si>
  <si>
    <t xml:space="preserve">Erstellt am 07.09.2026, aktualisiert 09.09.2026 (Standort Deutschland &amp; Saisonalität), 10.09.2026 (vollständige ifeu-Auswertung, Zeilen je Anbauvariante) und 14.09.2026 (Erweiterung auf 420 Lebensmittel) mit Claude (Anthropic) auf Basis der oben genannten öffentlichen Quellen.</t>
  </si>
  <si>
    <t xml:space="preserve">8. Neue Spalte: Zucker je 100g (Version 14.09.2026, ergänzt 19.09.2026)</t>
  </si>
  <si>
    <t xml:space="preserve">Für den in der Web-App genutzten Zutat-1-Filter (Fett/Zucker-Obergrenze, siehe App-README) wurde eine Spalte 'Zucker je 100g' ergänzt. Da weder Poore &amp; Nemecek noch die ifeu-Studien Zuckerwerte ausweisen, wurde der Zuckeranteil als Anteil an den bereits vorhandenen Kohlenhydraten (Spalte J) geschätzt, gestaffelt nach Lebensmittelkategorie (z.B. Obst ca. 65-85%, Milch/Joghurt ca. 90-95% [Laktose], Brot/Nudeln/Reis/Kartoffeln ca. 1-5%, Fleisch/Fisch/Öl ca. 0%, Süßwaren/Honig ca. 85-98%). Stichproben gegen bekannte Tabellenwerte (Apfel, Milch, Honig, Kartoffeln) lagen nah an realen Werten. Wie bei allen Tier-2-Schätzungen gilt: Größenordnung verlässlich, keine Laboranalyse.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</si>
</sst>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rgb="FF223026"/>
      <name val="Arial"/>
      <family val="0"/>
      <charset val="1"/>
    </font>
    <font>
      <b val="true"/>
      <sz val="12"/>
      <color rgb="FF7A3B4E"/>
      <name val="Arial"/>
      <family val="0"/>
      <charset val="1"/>
    </font>
    <font>
      <sz val="10.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23026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A3B4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0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26" min="11" style="1" width="13"/>
    <col collapsed="false" customWidth="true" hidden="false" outlineLevel="0" max="27" min="27" style="0" width="14"/>
  </cols>
  <sheetData>
    <row r="1" customFormat="false" ht="4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customFormat="false" ht="26.25" hidden="false" customHeight="true" outlineLevel="0" collapsed="false">
      <c r="A2" s="4" t="s">
        <v>27</v>
      </c>
      <c r="B2" s="4" t="s">
        <v>28</v>
      </c>
      <c r="C2" s="5" t="n">
        <v>0.2</v>
      </c>
      <c r="D2" s="5"/>
      <c r="E2" s="4" t="s">
        <v>29</v>
      </c>
      <c r="F2" s="6" t="s">
        <v>28</v>
      </c>
      <c r="G2" s="5" t="n">
        <v>25</v>
      </c>
      <c r="H2" s="5" t="n">
        <v>0.2</v>
      </c>
      <c r="I2" s="5" t="n">
        <v>1</v>
      </c>
      <c r="J2" s="5" t="n">
        <v>6</v>
      </c>
      <c r="K2" s="5" t="n">
        <v>1</v>
      </c>
      <c r="L2" s="5" t="n">
        <v>2.2</v>
      </c>
      <c r="M2" s="5" t="n">
        <v>0</v>
      </c>
      <c r="N2" s="5" t="n">
        <v>0.3</v>
      </c>
      <c r="O2" s="5" t="n">
        <v>3.5</v>
      </c>
      <c r="P2" s="5" t="n">
        <v>0.04</v>
      </c>
      <c r="Q2" s="5" t="n">
        <v>0.04</v>
      </c>
      <c r="R2" s="5" t="n">
        <v>0.6</v>
      </c>
      <c r="S2" s="5" t="n">
        <v>0.08</v>
      </c>
      <c r="T2" s="5" t="n">
        <v>22</v>
      </c>
      <c r="U2" s="5" t="n">
        <v>0</v>
      </c>
      <c r="V2" s="5" t="n">
        <v>9</v>
      </c>
      <c r="W2" s="5" t="n">
        <v>0.2</v>
      </c>
      <c r="X2" s="5" t="n">
        <v>14</v>
      </c>
      <c r="Y2" s="5" t="n">
        <v>0.2</v>
      </c>
      <c r="Z2" s="5" t="n">
        <v>230</v>
      </c>
      <c r="AA2" s="7" t="n">
        <v>2.1</v>
      </c>
    </row>
    <row r="3" customFormat="false" ht="26.25" hidden="false" customHeight="true" outlineLevel="0" collapsed="false">
      <c r="A3" s="4" t="s">
        <v>30</v>
      </c>
      <c r="B3" s="4" t="s">
        <v>28</v>
      </c>
      <c r="C3" s="5" t="n">
        <v>0.2</v>
      </c>
      <c r="D3" s="5"/>
      <c r="E3" s="4" t="s">
        <v>29</v>
      </c>
      <c r="F3" s="6" t="s">
        <v>28</v>
      </c>
      <c r="G3" s="5" t="n">
        <v>25</v>
      </c>
      <c r="H3" s="5" t="n">
        <v>0.3</v>
      </c>
      <c r="I3" s="5" t="n">
        <v>1.9</v>
      </c>
      <c r="J3" s="5" t="n">
        <v>5</v>
      </c>
      <c r="K3" s="5" t="n">
        <v>0</v>
      </c>
      <c r="L3" s="5" t="n">
        <v>48</v>
      </c>
      <c r="M3" s="5" t="n">
        <v>0</v>
      </c>
      <c r="N3" s="5" t="n">
        <v>0.1</v>
      </c>
      <c r="O3" s="5" t="n">
        <v>16</v>
      </c>
      <c r="P3" s="5" t="n">
        <v>0.05</v>
      </c>
      <c r="Q3" s="5" t="n">
        <v>0.06</v>
      </c>
      <c r="R3" s="5" t="n">
        <v>0.5</v>
      </c>
      <c r="S3" s="5" t="n">
        <v>0.18</v>
      </c>
      <c r="T3" s="5" t="n">
        <v>57</v>
      </c>
      <c r="U3" s="5" t="n">
        <v>0</v>
      </c>
      <c r="V3" s="5" t="n">
        <v>22</v>
      </c>
      <c r="W3" s="5" t="n">
        <v>0.4</v>
      </c>
      <c r="X3" s="5" t="n">
        <v>15</v>
      </c>
      <c r="Y3" s="5" t="n">
        <v>0.3</v>
      </c>
      <c r="Z3" s="5" t="n">
        <v>300</v>
      </c>
      <c r="AA3" s="7" t="n">
        <v>1.8</v>
      </c>
    </row>
    <row r="4" customFormat="false" ht="26.25" hidden="false" customHeight="true" outlineLevel="0" collapsed="false">
      <c r="A4" s="4" t="s">
        <v>31</v>
      </c>
      <c r="B4" s="4" t="s">
        <v>28</v>
      </c>
      <c r="C4" s="5" t="n">
        <v>0.8</v>
      </c>
      <c r="D4" s="5"/>
      <c r="E4" s="4" t="s">
        <v>29</v>
      </c>
      <c r="F4" s="6" t="s">
        <v>28</v>
      </c>
      <c r="G4" s="5" t="n">
        <v>31</v>
      </c>
      <c r="H4" s="5" t="n">
        <v>0.2</v>
      </c>
      <c r="I4" s="5" t="n">
        <v>1.8</v>
      </c>
      <c r="J4" s="5" t="n">
        <v>7</v>
      </c>
      <c r="K4" s="5" t="n">
        <v>35</v>
      </c>
      <c r="L4" s="5" t="n">
        <v>12</v>
      </c>
      <c r="M4" s="5" t="n">
        <v>0</v>
      </c>
      <c r="N4" s="5" t="n">
        <v>0.4</v>
      </c>
      <c r="O4" s="5" t="n">
        <v>43</v>
      </c>
      <c r="P4" s="5" t="n">
        <v>0.08</v>
      </c>
      <c r="Q4" s="5" t="n">
        <v>0.1</v>
      </c>
      <c r="R4" s="5" t="n">
        <v>0.7</v>
      </c>
      <c r="S4" s="5" t="n">
        <v>0.07</v>
      </c>
      <c r="T4" s="5" t="n">
        <v>33</v>
      </c>
      <c r="U4" s="5" t="n">
        <v>0</v>
      </c>
      <c r="V4" s="5" t="n">
        <v>37</v>
      </c>
      <c r="W4" s="5" t="n">
        <v>1</v>
      </c>
      <c r="X4" s="5" t="n">
        <v>25</v>
      </c>
      <c r="Y4" s="5" t="n">
        <v>0.2</v>
      </c>
      <c r="Z4" s="5" t="n">
        <v>210</v>
      </c>
      <c r="AA4" s="7" t="n">
        <v>2.1</v>
      </c>
    </row>
    <row r="5" customFormat="false" ht="26.25" hidden="false" customHeight="true" outlineLevel="0" collapsed="false">
      <c r="A5" s="4" t="s">
        <v>32</v>
      </c>
      <c r="B5" s="4" t="s">
        <v>28</v>
      </c>
      <c r="C5" s="5" t="n">
        <v>1.3</v>
      </c>
      <c r="D5" s="5"/>
      <c r="E5" s="4" t="s">
        <v>29</v>
      </c>
      <c r="F5" s="6" t="s">
        <v>28</v>
      </c>
      <c r="G5" s="5" t="n">
        <v>90</v>
      </c>
      <c r="H5" s="5" t="n">
        <v>0.5</v>
      </c>
      <c r="I5" s="5" t="n">
        <v>6</v>
      </c>
      <c r="J5" s="5" t="n">
        <v>15</v>
      </c>
      <c r="K5" s="5" t="n">
        <v>0</v>
      </c>
      <c r="L5" s="5" t="n">
        <v>1</v>
      </c>
      <c r="M5" s="5" t="n">
        <v>0</v>
      </c>
      <c r="N5" s="5" t="n">
        <v>0.1</v>
      </c>
      <c r="O5" s="5" t="n">
        <v>3</v>
      </c>
      <c r="P5" s="5" t="n">
        <v>0.05</v>
      </c>
      <c r="Q5" s="5" t="n">
        <v>0.05</v>
      </c>
      <c r="R5" s="5" t="n">
        <v>0.4</v>
      </c>
      <c r="S5" s="5" t="n">
        <v>0.08</v>
      </c>
      <c r="T5" s="5" t="n">
        <v>20</v>
      </c>
      <c r="U5" s="5" t="n">
        <v>0</v>
      </c>
      <c r="V5" s="5" t="n">
        <v>60</v>
      </c>
      <c r="W5" s="5" t="n">
        <v>2</v>
      </c>
      <c r="X5" s="5" t="n">
        <v>35</v>
      </c>
      <c r="Y5" s="5" t="n">
        <v>0.8</v>
      </c>
      <c r="Z5" s="5" t="n">
        <v>300</v>
      </c>
      <c r="AA5" s="7" t="n">
        <v>0.3</v>
      </c>
    </row>
    <row r="6" customFormat="false" ht="26.25" hidden="false" customHeight="true" outlineLevel="0" collapsed="false">
      <c r="A6" s="4" t="s">
        <v>33</v>
      </c>
      <c r="B6" s="4" t="s">
        <v>28</v>
      </c>
      <c r="C6" s="5" t="n">
        <v>0.3</v>
      </c>
      <c r="D6" s="5"/>
      <c r="E6" s="4" t="s">
        <v>29</v>
      </c>
      <c r="F6" s="6" t="s">
        <v>28</v>
      </c>
      <c r="G6" s="5" t="n">
        <v>34</v>
      </c>
      <c r="H6" s="5" t="n">
        <v>0.4</v>
      </c>
      <c r="I6" s="5" t="n">
        <v>2.8</v>
      </c>
      <c r="J6" s="5" t="n">
        <v>7</v>
      </c>
      <c r="K6" s="5" t="n">
        <v>31</v>
      </c>
      <c r="L6" s="5" t="n">
        <v>89</v>
      </c>
      <c r="M6" s="5" t="n">
        <v>0</v>
      </c>
      <c r="N6" s="5" t="n">
        <v>0.8</v>
      </c>
      <c r="O6" s="5" t="n">
        <v>102</v>
      </c>
      <c r="P6" s="5" t="n">
        <v>0.07</v>
      </c>
      <c r="Q6" s="5" t="n">
        <v>0.12</v>
      </c>
      <c r="R6" s="5" t="n">
        <v>0.6</v>
      </c>
      <c r="S6" s="5" t="n">
        <v>0.2</v>
      </c>
      <c r="T6" s="5" t="n">
        <v>63</v>
      </c>
      <c r="U6" s="5" t="n">
        <v>0</v>
      </c>
      <c r="V6" s="5" t="n">
        <v>47</v>
      </c>
      <c r="W6" s="5" t="n">
        <v>0.7</v>
      </c>
      <c r="X6" s="5" t="n">
        <v>21</v>
      </c>
      <c r="Y6" s="5" t="n">
        <v>0.4</v>
      </c>
      <c r="Z6" s="5" t="n">
        <v>316</v>
      </c>
      <c r="AA6" s="7" t="n">
        <v>2.1</v>
      </c>
    </row>
    <row r="7" customFormat="false" ht="26.25" hidden="false" customHeight="true" outlineLevel="0" collapsed="false">
      <c r="A7" s="4" t="s">
        <v>34</v>
      </c>
      <c r="B7" s="4" t="s">
        <v>28</v>
      </c>
      <c r="C7" s="5" t="n">
        <v>0.7</v>
      </c>
      <c r="D7" s="5"/>
      <c r="E7" s="4" t="s">
        <v>29</v>
      </c>
      <c r="F7" s="6" t="s">
        <v>28</v>
      </c>
      <c r="G7" s="5" t="n">
        <v>28</v>
      </c>
      <c r="H7" s="5" t="n">
        <v>0.3</v>
      </c>
      <c r="I7" s="5" t="n">
        <v>2.5</v>
      </c>
      <c r="J7" s="5" t="n">
        <v>5</v>
      </c>
      <c r="K7" s="5" t="n">
        <v>25</v>
      </c>
      <c r="L7" s="5" t="n">
        <v>45</v>
      </c>
      <c r="M7" s="5" t="n">
        <v>0</v>
      </c>
      <c r="N7" s="5" t="n">
        <v>0.6</v>
      </c>
      <c r="O7" s="5" t="n">
        <v>90</v>
      </c>
      <c r="P7" s="5" t="n">
        <v>0.05</v>
      </c>
      <c r="Q7" s="5" t="n">
        <v>0.09</v>
      </c>
      <c r="R7" s="5" t="n">
        <v>0.5</v>
      </c>
      <c r="S7" s="5" t="n">
        <v>0.15</v>
      </c>
      <c r="T7" s="5" t="n">
        <v>50</v>
      </c>
      <c r="U7" s="5" t="n">
        <v>0</v>
      </c>
      <c r="V7" s="5" t="n">
        <v>40</v>
      </c>
      <c r="W7" s="5" t="n">
        <v>0.6</v>
      </c>
      <c r="X7" s="5" t="n">
        <v>18</v>
      </c>
      <c r="Y7" s="5" t="n">
        <v>0.3</v>
      </c>
      <c r="Z7" s="5" t="n">
        <v>270</v>
      </c>
      <c r="AA7" s="7" t="n">
        <v>1.5</v>
      </c>
    </row>
    <row r="8" customFormat="false" ht="26.25" hidden="false" customHeight="true" outlineLevel="0" collapsed="false">
      <c r="A8" s="4" t="s">
        <v>35</v>
      </c>
      <c r="B8" s="4" t="s">
        <v>28</v>
      </c>
      <c r="C8" s="5" t="n">
        <v>1.3</v>
      </c>
      <c r="D8" s="5"/>
      <c r="E8" s="4" t="s">
        <v>29</v>
      </c>
      <c r="F8" s="6" t="s">
        <v>28</v>
      </c>
      <c r="G8" s="5" t="n">
        <v>22</v>
      </c>
      <c r="H8" s="5" t="n">
        <v>0.3</v>
      </c>
      <c r="I8" s="5" t="n">
        <v>3.1</v>
      </c>
      <c r="J8" s="5" t="n">
        <v>3</v>
      </c>
      <c r="K8" s="5" t="n">
        <v>0</v>
      </c>
      <c r="L8" s="5" t="n">
        <v>2</v>
      </c>
      <c r="M8" s="5" t="n">
        <v>0.2</v>
      </c>
      <c r="N8" s="5" t="n">
        <v>0.01</v>
      </c>
      <c r="O8" s="5" t="n">
        <v>0</v>
      </c>
      <c r="P8" s="5" t="n">
        <v>0.1</v>
      </c>
      <c r="Q8" s="5" t="n">
        <v>0.4</v>
      </c>
      <c r="R8" s="5" t="n">
        <v>3.6</v>
      </c>
      <c r="S8" s="5" t="n">
        <v>0.1</v>
      </c>
      <c r="T8" s="5" t="n">
        <v>17</v>
      </c>
      <c r="U8" s="5" t="n">
        <v>0</v>
      </c>
      <c r="V8" s="5" t="n">
        <v>3</v>
      </c>
      <c r="W8" s="5" t="n">
        <v>0.5</v>
      </c>
      <c r="X8" s="5" t="n">
        <v>9</v>
      </c>
      <c r="Y8" s="5" t="n">
        <v>0.5</v>
      </c>
      <c r="Z8" s="5" t="n">
        <v>320</v>
      </c>
      <c r="AA8" s="7" t="n">
        <v>0.4</v>
      </c>
    </row>
    <row r="9" customFormat="false" ht="26.25" hidden="false" customHeight="true" outlineLevel="0" collapsed="false">
      <c r="A9" s="4" t="s">
        <v>36</v>
      </c>
      <c r="B9" s="4" t="s">
        <v>28</v>
      </c>
      <c r="C9" s="5" t="n">
        <v>2.4</v>
      </c>
      <c r="D9" s="5"/>
      <c r="E9" s="4" t="s">
        <v>29</v>
      </c>
      <c r="F9" s="6" t="s">
        <v>28</v>
      </c>
      <c r="G9" s="5" t="n">
        <v>15</v>
      </c>
      <c r="H9" s="5" t="n">
        <v>0.2</v>
      </c>
      <c r="I9" s="5" t="n">
        <v>2</v>
      </c>
      <c r="J9" s="5" t="n">
        <v>1</v>
      </c>
      <c r="K9" s="5" t="n">
        <v>0</v>
      </c>
      <c r="L9" s="5" t="n">
        <v>1</v>
      </c>
      <c r="M9" s="5" t="n">
        <v>0.1</v>
      </c>
      <c r="N9" s="5" t="n">
        <v>0.01</v>
      </c>
      <c r="O9" s="5" t="n">
        <v>0</v>
      </c>
      <c r="P9" s="5" t="n">
        <v>0.03</v>
      </c>
      <c r="Q9" s="5" t="n">
        <v>0.2</v>
      </c>
      <c r="R9" s="5" t="n">
        <v>1.5</v>
      </c>
      <c r="S9" s="5" t="n">
        <v>0.05</v>
      </c>
      <c r="T9" s="5" t="n">
        <v>10</v>
      </c>
      <c r="U9" s="5" t="n">
        <v>0</v>
      </c>
      <c r="V9" s="5" t="n">
        <v>5</v>
      </c>
      <c r="W9" s="5" t="n">
        <v>1</v>
      </c>
      <c r="X9" s="5" t="n">
        <v>7</v>
      </c>
      <c r="Y9" s="5" t="n">
        <v>0.4</v>
      </c>
      <c r="Z9" s="5" t="n">
        <v>180</v>
      </c>
      <c r="AA9" s="7" t="n">
        <v>0.1</v>
      </c>
    </row>
    <row r="10" customFormat="false" ht="26.25" hidden="false" customHeight="true" outlineLevel="0" collapsed="false">
      <c r="A10" s="4" t="s">
        <v>37</v>
      </c>
      <c r="B10" s="4" t="s">
        <v>28</v>
      </c>
      <c r="C10" s="5" t="n">
        <v>0.2</v>
      </c>
      <c r="D10" s="5"/>
      <c r="E10" s="4" t="s">
        <v>29</v>
      </c>
      <c r="F10" s="6" t="s">
        <v>28</v>
      </c>
      <c r="G10" s="5" t="n">
        <v>31</v>
      </c>
      <c r="H10" s="5" t="n">
        <v>0.2</v>
      </c>
      <c r="I10" s="5" t="n">
        <v>1.2</v>
      </c>
      <c r="J10" s="5" t="n">
        <v>7</v>
      </c>
      <c r="K10" s="5" t="n">
        <v>7</v>
      </c>
      <c r="L10" s="5" t="n">
        <v>12</v>
      </c>
      <c r="M10" s="5" t="n">
        <v>0</v>
      </c>
      <c r="N10" s="5" t="n">
        <v>0.6</v>
      </c>
      <c r="O10" s="5" t="n">
        <v>62</v>
      </c>
      <c r="P10" s="5" t="n">
        <v>0.01</v>
      </c>
      <c r="Q10" s="5" t="n">
        <v>0.03</v>
      </c>
      <c r="R10" s="5" t="n">
        <v>0.6</v>
      </c>
      <c r="S10" s="5" t="n">
        <v>0.05</v>
      </c>
      <c r="T10" s="5" t="n">
        <v>27</v>
      </c>
      <c r="U10" s="5" t="n">
        <v>0</v>
      </c>
      <c r="V10" s="5" t="n">
        <v>49</v>
      </c>
      <c r="W10" s="5" t="n">
        <v>0.7</v>
      </c>
      <c r="X10" s="5" t="n">
        <v>17</v>
      </c>
      <c r="Y10" s="5" t="n">
        <v>0.2</v>
      </c>
      <c r="Z10" s="5" t="n">
        <v>414</v>
      </c>
      <c r="AA10" s="7" t="n">
        <v>2.4</v>
      </c>
    </row>
    <row r="11" customFormat="false" ht="26.25" hidden="false" customHeight="true" outlineLevel="0" collapsed="false">
      <c r="A11" s="4" t="s">
        <v>38</v>
      </c>
      <c r="B11" s="4" t="s">
        <v>28</v>
      </c>
      <c r="C11" s="5" t="n">
        <v>0.3</v>
      </c>
      <c r="D11" s="5"/>
      <c r="E11" s="4" t="s">
        <v>29</v>
      </c>
      <c r="F11" s="6" t="s">
        <v>28</v>
      </c>
      <c r="G11" s="5" t="n">
        <v>49</v>
      </c>
      <c r="H11" s="5" t="n">
        <v>0.9</v>
      </c>
      <c r="I11" s="5" t="n">
        <v>4.3</v>
      </c>
      <c r="J11" s="5" t="n">
        <v>9</v>
      </c>
      <c r="K11" s="5" t="n">
        <v>681</v>
      </c>
      <c r="L11" s="5" t="n">
        <v>120</v>
      </c>
      <c r="M11" s="5" t="n">
        <v>0</v>
      </c>
      <c r="N11" s="5" t="n">
        <v>1.5</v>
      </c>
      <c r="O11" s="5" t="n">
        <v>705</v>
      </c>
      <c r="P11" s="5" t="n">
        <v>0.11</v>
      </c>
      <c r="Q11" s="5" t="n">
        <v>0.13</v>
      </c>
      <c r="R11" s="5" t="n">
        <v>1</v>
      </c>
      <c r="S11" s="5" t="n">
        <v>0.27</v>
      </c>
      <c r="T11" s="5" t="n">
        <v>141</v>
      </c>
      <c r="U11" s="5" t="n">
        <v>0</v>
      </c>
      <c r="V11" s="5" t="n">
        <v>150</v>
      </c>
      <c r="W11" s="5" t="n">
        <v>1.5</v>
      </c>
      <c r="X11" s="5" t="n">
        <v>34</v>
      </c>
      <c r="Y11" s="5" t="n">
        <v>0.6</v>
      </c>
      <c r="Z11" s="5" t="n">
        <v>450</v>
      </c>
      <c r="AA11" s="7" t="n">
        <v>1.3</v>
      </c>
    </row>
    <row r="12" customFormat="false" ht="26.25" hidden="false" customHeight="true" outlineLevel="0" collapsed="false">
      <c r="A12" s="4" t="s">
        <v>39</v>
      </c>
      <c r="B12" s="4" t="s">
        <v>28</v>
      </c>
      <c r="C12" s="5" t="n">
        <v>0.9</v>
      </c>
      <c r="D12" s="5"/>
      <c r="E12" s="4" t="s">
        <v>29</v>
      </c>
      <c r="F12" s="6" t="s">
        <v>28</v>
      </c>
      <c r="G12" s="5" t="n">
        <v>35</v>
      </c>
      <c r="H12" s="5" t="n">
        <v>0.6</v>
      </c>
      <c r="I12" s="5" t="n">
        <v>3</v>
      </c>
      <c r="J12" s="5" t="n">
        <v>5</v>
      </c>
      <c r="K12" s="5" t="n">
        <v>400</v>
      </c>
      <c r="L12" s="5" t="n">
        <v>50</v>
      </c>
      <c r="M12" s="5" t="n">
        <v>0</v>
      </c>
      <c r="N12" s="5" t="n">
        <v>1</v>
      </c>
      <c r="O12" s="5" t="n">
        <v>500</v>
      </c>
      <c r="P12" s="5" t="n">
        <v>0.06</v>
      </c>
      <c r="Q12" s="5" t="n">
        <v>0.08</v>
      </c>
      <c r="R12" s="5" t="n">
        <v>0.6</v>
      </c>
      <c r="S12" s="5" t="n">
        <v>0.15</v>
      </c>
      <c r="T12" s="5" t="n">
        <v>80</v>
      </c>
      <c r="U12" s="5" t="n">
        <v>0</v>
      </c>
      <c r="V12" s="5" t="n">
        <v>100</v>
      </c>
      <c r="W12" s="5" t="n">
        <v>1</v>
      </c>
      <c r="X12" s="5" t="n">
        <v>25</v>
      </c>
      <c r="Y12" s="5" t="n">
        <v>0.4</v>
      </c>
      <c r="Z12" s="5" t="n">
        <v>300</v>
      </c>
      <c r="AA12" s="7" t="n">
        <v>0.8</v>
      </c>
    </row>
    <row r="13" customFormat="false" ht="26.25" hidden="false" customHeight="true" outlineLevel="0" collapsed="false">
      <c r="A13" s="4" t="s">
        <v>40</v>
      </c>
      <c r="B13" s="4" t="s">
        <v>28</v>
      </c>
      <c r="C13" s="5" t="n">
        <v>0.1</v>
      </c>
      <c r="D13" s="5"/>
      <c r="E13" s="4" t="s">
        <v>29</v>
      </c>
      <c r="F13" s="6" t="s">
        <v>28</v>
      </c>
      <c r="G13" s="5" t="n">
        <v>41</v>
      </c>
      <c r="H13" s="5" t="n">
        <v>0.2</v>
      </c>
      <c r="I13" s="5" t="n">
        <v>0.9</v>
      </c>
      <c r="J13" s="5" t="n">
        <v>10</v>
      </c>
      <c r="K13" s="5" t="n">
        <v>835</v>
      </c>
      <c r="L13" s="5" t="n">
        <v>6</v>
      </c>
      <c r="M13" s="5" t="n">
        <v>0</v>
      </c>
      <c r="N13" s="5" t="n">
        <v>0.7</v>
      </c>
      <c r="O13" s="5" t="n">
        <v>13</v>
      </c>
      <c r="P13" s="5" t="n">
        <v>0.07</v>
      </c>
      <c r="Q13" s="5" t="n">
        <v>0.06</v>
      </c>
      <c r="R13" s="5" t="n">
        <v>1</v>
      </c>
      <c r="S13" s="5" t="n">
        <v>0.1</v>
      </c>
      <c r="T13" s="5" t="n">
        <v>19</v>
      </c>
      <c r="U13" s="5" t="n">
        <v>0</v>
      </c>
      <c r="V13" s="5" t="n">
        <v>33</v>
      </c>
      <c r="W13" s="5" t="n">
        <v>0.3</v>
      </c>
      <c r="X13" s="5" t="n">
        <v>12</v>
      </c>
      <c r="Y13" s="5" t="n">
        <v>0.2</v>
      </c>
      <c r="Z13" s="5" t="n">
        <v>320</v>
      </c>
      <c r="AA13" s="7" t="n">
        <v>4.5</v>
      </c>
    </row>
    <row r="14" customFormat="false" ht="26.25" hidden="false" customHeight="true" outlineLevel="0" collapsed="false">
      <c r="A14" s="4" t="s">
        <v>41</v>
      </c>
      <c r="B14" s="4" t="s">
        <v>28</v>
      </c>
      <c r="C14" s="5" t="n">
        <v>0.2</v>
      </c>
      <c r="D14" s="5"/>
      <c r="E14" s="4" t="s">
        <v>29</v>
      </c>
      <c r="F14" s="6" t="s">
        <v>28</v>
      </c>
      <c r="G14" s="5" t="n">
        <v>70</v>
      </c>
      <c r="H14" s="5" t="n">
        <v>0.1</v>
      </c>
      <c r="I14" s="5" t="n">
        <v>1.9</v>
      </c>
      <c r="J14" s="5" t="n">
        <v>16</v>
      </c>
      <c r="K14" s="5" t="n">
        <v>0</v>
      </c>
      <c r="L14" s="5" t="n">
        <v>20</v>
      </c>
      <c r="M14" s="5" t="n">
        <v>0</v>
      </c>
      <c r="N14" s="5" t="n">
        <v>0</v>
      </c>
      <c r="O14" s="5" t="n">
        <v>2</v>
      </c>
      <c r="P14" s="5" t="n">
        <v>0.1</v>
      </c>
      <c r="Q14" s="5" t="n">
        <v>0.03</v>
      </c>
      <c r="R14" s="5" t="n">
        <v>1.1</v>
      </c>
      <c r="S14" s="5" t="n">
        <v>0.3</v>
      </c>
      <c r="T14" s="5" t="n">
        <v>16</v>
      </c>
      <c r="U14" s="5" t="n">
        <v>0</v>
      </c>
      <c r="V14" s="5" t="n">
        <v>8</v>
      </c>
      <c r="W14" s="5" t="n">
        <v>0.5</v>
      </c>
      <c r="X14" s="5" t="n">
        <v>21</v>
      </c>
      <c r="Y14" s="5" t="n">
        <v>0.3</v>
      </c>
      <c r="Z14" s="5" t="n">
        <v>420</v>
      </c>
      <c r="AA14" s="7" t="n">
        <v>0.5</v>
      </c>
    </row>
    <row r="15" customFormat="false" ht="26.25" hidden="false" customHeight="true" outlineLevel="0" collapsed="false">
      <c r="A15" s="4" t="s">
        <v>42</v>
      </c>
      <c r="B15" s="4" t="s">
        <v>28</v>
      </c>
      <c r="C15" s="5" t="n">
        <v>0.2</v>
      </c>
      <c r="D15" s="5"/>
      <c r="E15" s="4" t="s">
        <v>29</v>
      </c>
      <c r="F15" s="6" t="s">
        <v>28</v>
      </c>
      <c r="G15" s="5" t="n">
        <v>70</v>
      </c>
      <c r="H15" s="5" t="n">
        <v>0.1</v>
      </c>
      <c r="I15" s="5" t="n">
        <v>1.9</v>
      </c>
      <c r="J15" s="5" t="n">
        <v>16</v>
      </c>
      <c r="K15" s="5" t="n">
        <v>0</v>
      </c>
      <c r="L15" s="5" t="n">
        <v>20</v>
      </c>
      <c r="M15" s="5" t="n">
        <v>0</v>
      </c>
      <c r="N15" s="5" t="n">
        <v>0</v>
      </c>
      <c r="O15" s="5" t="n">
        <v>2</v>
      </c>
      <c r="P15" s="5" t="n">
        <v>0.1</v>
      </c>
      <c r="Q15" s="5" t="n">
        <v>0.03</v>
      </c>
      <c r="R15" s="5" t="n">
        <v>1.1</v>
      </c>
      <c r="S15" s="5" t="n">
        <v>0.3</v>
      </c>
      <c r="T15" s="5" t="n">
        <v>16</v>
      </c>
      <c r="U15" s="5" t="n">
        <v>0</v>
      </c>
      <c r="V15" s="5" t="n">
        <v>8</v>
      </c>
      <c r="W15" s="5" t="n">
        <v>0.5</v>
      </c>
      <c r="X15" s="5" t="n">
        <v>21</v>
      </c>
      <c r="Y15" s="5" t="n">
        <v>0.3</v>
      </c>
      <c r="Z15" s="5" t="n">
        <v>420</v>
      </c>
      <c r="AA15" s="7" t="n">
        <v>0.5</v>
      </c>
    </row>
    <row r="16" customFormat="false" ht="26.25" hidden="false" customHeight="true" outlineLevel="0" collapsed="false">
      <c r="A16" s="4" t="s">
        <v>43</v>
      </c>
      <c r="B16" s="4" t="s">
        <v>28</v>
      </c>
      <c r="C16" s="5" t="n">
        <v>0.9</v>
      </c>
      <c r="D16" s="5"/>
      <c r="E16" s="4" t="s">
        <v>29</v>
      </c>
      <c r="F16" s="6" t="s">
        <v>28</v>
      </c>
      <c r="G16" s="5" t="n">
        <v>350</v>
      </c>
      <c r="H16" s="5" t="n">
        <v>1</v>
      </c>
      <c r="I16" s="5" t="n">
        <v>8</v>
      </c>
      <c r="J16" s="5" t="n">
        <v>78</v>
      </c>
      <c r="K16" s="5" t="n">
        <v>0</v>
      </c>
      <c r="L16" s="5" t="n">
        <v>15</v>
      </c>
      <c r="M16" s="5" t="n">
        <v>0</v>
      </c>
      <c r="N16" s="5" t="n">
        <v>0</v>
      </c>
      <c r="O16" s="5" t="n">
        <v>0</v>
      </c>
      <c r="P16" s="5" t="n">
        <v>0.15</v>
      </c>
      <c r="Q16" s="5" t="n">
        <v>0.05</v>
      </c>
      <c r="R16" s="5" t="n">
        <v>3</v>
      </c>
      <c r="S16" s="5" t="n">
        <v>0.5</v>
      </c>
      <c r="T16" s="5" t="n">
        <v>20</v>
      </c>
      <c r="U16" s="5" t="n">
        <v>0</v>
      </c>
      <c r="V16" s="5" t="n">
        <v>40</v>
      </c>
      <c r="W16" s="5" t="n">
        <v>2</v>
      </c>
      <c r="X16" s="5" t="n">
        <v>50</v>
      </c>
      <c r="Y16" s="5" t="n">
        <v>0.8</v>
      </c>
      <c r="Z16" s="5" t="n">
        <v>900</v>
      </c>
      <c r="AA16" s="7" t="n">
        <v>2.3</v>
      </c>
    </row>
    <row r="17" customFormat="false" ht="26.25" hidden="false" customHeight="true" outlineLevel="0" collapsed="false">
      <c r="A17" s="4" t="s">
        <v>44</v>
      </c>
      <c r="B17" s="4" t="s">
        <v>28</v>
      </c>
      <c r="C17" s="5" t="n">
        <v>0.2</v>
      </c>
      <c r="D17" s="5"/>
      <c r="E17" s="4" t="s">
        <v>29</v>
      </c>
      <c r="F17" s="6" t="s">
        <v>28</v>
      </c>
      <c r="G17" s="5" t="n">
        <v>27</v>
      </c>
      <c r="H17" s="5" t="n">
        <v>0.1</v>
      </c>
      <c r="I17" s="5" t="n">
        <v>1.7</v>
      </c>
      <c r="J17" s="5" t="n">
        <v>5</v>
      </c>
      <c r="K17" s="5" t="n">
        <v>4</v>
      </c>
      <c r="L17" s="5" t="n">
        <v>62</v>
      </c>
      <c r="M17" s="5" t="n">
        <v>0</v>
      </c>
      <c r="N17" s="5" t="n">
        <v>0.1</v>
      </c>
      <c r="O17" s="5" t="n">
        <v>0.1</v>
      </c>
      <c r="P17" s="5" t="n">
        <v>0.05</v>
      </c>
      <c r="Q17" s="5" t="n">
        <v>0.02</v>
      </c>
      <c r="R17" s="5" t="n">
        <v>0.4</v>
      </c>
      <c r="S17" s="5" t="n">
        <v>0.15</v>
      </c>
      <c r="T17" s="5" t="n">
        <v>16</v>
      </c>
      <c r="U17" s="5" t="n">
        <v>0</v>
      </c>
      <c r="V17" s="5" t="n">
        <v>24</v>
      </c>
      <c r="W17" s="5" t="n">
        <v>0.4</v>
      </c>
      <c r="X17" s="5" t="n">
        <v>19</v>
      </c>
      <c r="Y17" s="5" t="n">
        <v>0.2</v>
      </c>
      <c r="Z17" s="5" t="n">
        <v>350</v>
      </c>
      <c r="AA17" s="7" t="n">
        <v>1.8</v>
      </c>
    </row>
    <row r="18" customFormat="false" ht="26.25" hidden="false" customHeight="true" outlineLevel="0" collapsed="false">
      <c r="A18" s="4" t="s">
        <v>45</v>
      </c>
      <c r="B18" s="4" t="s">
        <v>28</v>
      </c>
      <c r="C18" s="5" t="n">
        <v>0.2</v>
      </c>
      <c r="D18" s="5"/>
      <c r="E18" s="4" t="s">
        <v>29</v>
      </c>
      <c r="F18" s="6" t="s">
        <v>28</v>
      </c>
      <c r="G18" s="5" t="n">
        <v>26</v>
      </c>
      <c r="H18" s="5" t="n">
        <v>0.1</v>
      </c>
      <c r="I18" s="5" t="n">
        <v>1</v>
      </c>
      <c r="J18" s="5" t="n">
        <v>6</v>
      </c>
      <c r="K18" s="5" t="n">
        <v>170</v>
      </c>
      <c r="L18" s="5" t="n">
        <v>9</v>
      </c>
      <c r="M18" s="5" t="n">
        <v>0</v>
      </c>
      <c r="N18" s="5" t="n">
        <v>0.4</v>
      </c>
      <c r="O18" s="5" t="n">
        <v>1.1</v>
      </c>
      <c r="P18" s="5" t="n">
        <v>0.05</v>
      </c>
      <c r="Q18" s="5" t="n">
        <v>0.11</v>
      </c>
      <c r="R18" s="5" t="n">
        <v>0.6</v>
      </c>
      <c r="S18" s="5" t="n">
        <v>0.06</v>
      </c>
      <c r="T18" s="5" t="n">
        <v>16</v>
      </c>
      <c r="U18" s="5" t="n">
        <v>0</v>
      </c>
      <c r="V18" s="5" t="n">
        <v>21</v>
      </c>
      <c r="W18" s="5" t="n">
        <v>0.8</v>
      </c>
      <c r="X18" s="5" t="n">
        <v>12</v>
      </c>
      <c r="Y18" s="5" t="n">
        <v>0.3</v>
      </c>
      <c r="Z18" s="5" t="n">
        <v>340</v>
      </c>
      <c r="AA18" s="7" t="n">
        <v>2.1</v>
      </c>
    </row>
    <row r="19" customFormat="false" ht="26.25" hidden="false" customHeight="true" outlineLevel="0" collapsed="false">
      <c r="A19" s="4" t="s">
        <v>46</v>
      </c>
      <c r="B19" s="4" t="s">
        <v>28</v>
      </c>
      <c r="C19" s="5" t="n">
        <v>0.2</v>
      </c>
      <c r="D19" s="5"/>
      <c r="E19" s="4" t="s">
        <v>29</v>
      </c>
      <c r="F19" s="6" t="s">
        <v>28</v>
      </c>
      <c r="G19" s="5" t="n">
        <v>61</v>
      </c>
      <c r="H19" s="5" t="n">
        <v>0.3</v>
      </c>
      <c r="I19" s="5" t="n">
        <v>1.5</v>
      </c>
      <c r="J19" s="5" t="n">
        <v>14</v>
      </c>
      <c r="K19" s="5" t="n">
        <v>83</v>
      </c>
      <c r="L19" s="5" t="n">
        <v>12</v>
      </c>
      <c r="M19" s="5" t="n">
        <v>0</v>
      </c>
      <c r="N19" s="5" t="n">
        <v>0.9</v>
      </c>
      <c r="O19" s="5" t="n">
        <v>47</v>
      </c>
      <c r="P19" s="5" t="n">
        <v>0.06</v>
      </c>
      <c r="Q19" s="5" t="n">
        <v>0.03</v>
      </c>
      <c r="R19" s="5" t="n">
        <v>0.4</v>
      </c>
      <c r="S19" s="5" t="n">
        <v>0.23</v>
      </c>
      <c r="T19" s="5" t="n">
        <v>64</v>
      </c>
      <c r="U19" s="5" t="n">
        <v>0</v>
      </c>
      <c r="V19" s="5" t="n">
        <v>59</v>
      </c>
      <c r="W19" s="5" t="n">
        <v>2.1</v>
      </c>
      <c r="X19" s="5" t="n">
        <v>28</v>
      </c>
      <c r="Y19" s="5" t="n">
        <v>0.1</v>
      </c>
      <c r="Z19" s="5" t="n">
        <v>180</v>
      </c>
      <c r="AA19" s="7" t="n">
        <v>4.2</v>
      </c>
    </row>
    <row r="20" customFormat="false" ht="26.25" hidden="false" customHeight="true" outlineLevel="0" collapsed="false">
      <c r="A20" s="4" t="s">
        <v>47</v>
      </c>
      <c r="B20" s="4" t="s">
        <v>28</v>
      </c>
      <c r="C20" s="5" t="n">
        <v>0.6</v>
      </c>
      <c r="D20" s="5"/>
      <c r="E20" s="4" t="s">
        <v>29</v>
      </c>
      <c r="F20" s="6" t="s">
        <v>28</v>
      </c>
      <c r="G20" s="5" t="n">
        <v>31</v>
      </c>
      <c r="H20" s="5" t="n">
        <v>0.3</v>
      </c>
      <c r="I20" s="5" t="n">
        <v>1</v>
      </c>
      <c r="J20" s="5" t="n">
        <v>6</v>
      </c>
      <c r="K20" s="5" t="n">
        <v>157</v>
      </c>
      <c r="L20" s="5" t="n">
        <v>128</v>
      </c>
      <c r="M20" s="5" t="n">
        <v>0</v>
      </c>
      <c r="N20" s="5" t="n">
        <v>1.6</v>
      </c>
      <c r="O20" s="5" t="n">
        <v>4.9</v>
      </c>
      <c r="P20" s="5" t="n">
        <v>0.05</v>
      </c>
      <c r="Q20" s="5" t="n">
        <v>0.09</v>
      </c>
      <c r="R20" s="5" t="n">
        <v>1.2</v>
      </c>
      <c r="S20" s="5" t="n">
        <v>0.3</v>
      </c>
      <c r="T20" s="5" t="n">
        <v>46</v>
      </c>
      <c r="U20" s="5" t="n">
        <v>0</v>
      </c>
      <c r="V20" s="5" t="n">
        <v>7</v>
      </c>
      <c r="W20" s="5" t="n">
        <v>0.4</v>
      </c>
      <c r="X20" s="5" t="n">
        <v>12</v>
      </c>
      <c r="Y20" s="5" t="n">
        <v>0.3</v>
      </c>
      <c r="Z20" s="5" t="n">
        <v>210</v>
      </c>
      <c r="AA20" s="7" t="n">
        <v>3.3</v>
      </c>
    </row>
    <row r="21" customFormat="false" ht="26.25" hidden="false" customHeight="true" outlineLevel="0" collapsed="false">
      <c r="A21" s="4" t="s">
        <v>48</v>
      </c>
      <c r="B21" s="4" t="s">
        <v>28</v>
      </c>
      <c r="C21" s="5" t="n">
        <v>0.2</v>
      </c>
      <c r="D21" s="5"/>
      <c r="E21" s="4" t="s">
        <v>29</v>
      </c>
      <c r="F21" s="6" t="s">
        <v>28</v>
      </c>
      <c r="G21" s="5" t="n">
        <v>16</v>
      </c>
      <c r="H21" s="5" t="n">
        <v>0.1</v>
      </c>
      <c r="I21" s="5" t="n">
        <v>0.7</v>
      </c>
      <c r="J21" s="5" t="n">
        <v>3</v>
      </c>
      <c r="K21" s="5" t="n">
        <v>0</v>
      </c>
      <c r="L21" s="5" t="n">
        <v>15</v>
      </c>
      <c r="M21" s="5" t="n">
        <v>0</v>
      </c>
      <c r="N21" s="5" t="n">
        <v>0</v>
      </c>
      <c r="O21" s="5" t="n">
        <v>1.3</v>
      </c>
      <c r="P21" s="5" t="n">
        <v>0.01</v>
      </c>
      <c r="Q21" s="5" t="n">
        <v>0.04</v>
      </c>
      <c r="R21" s="5" t="n">
        <v>0.3</v>
      </c>
      <c r="S21" s="5" t="n">
        <v>0.07</v>
      </c>
      <c r="T21" s="5" t="n">
        <v>25</v>
      </c>
      <c r="U21" s="5" t="n">
        <v>0</v>
      </c>
      <c r="V21" s="5" t="n">
        <v>25</v>
      </c>
      <c r="W21" s="5" t="n">
        <v>0.3</v>
      </c>
      <c r="X21" s="5" t="n">
        <v>10</v>
      </c>
      <c r="Y21" s="5" t="n">
        <v>0.3</v>
      </c>
      <c r="Z21" s="5" t="n">
        <v>230</v>
      </c>
      <c r="AA21" s="7" t="n">
        <v>1</v>
      </c>
    </row>
    <row r="22" customFormat="false" ht="26.25" hidden="false" customHeight="true" outlineLevel="0" collapsed="false">
      <c r="A22" s="4" t="s">
        <v>49</v>
      </c>
      <c r="B22" s="4" t="s">
        <v>28</v>
      </c>
      <c r="C22" s="5" t="n">
        <v>0.3</v>
      </c>
      <c r="D22" s="5"/>
      <c r="E22" s="4" t="s">
        <v>29</v>
      </c>
      <c r="F22" s="6" t="s">
        <v>28</v>
      </c>
      <c r="G22" s="5" t="n">
        <v>43</v>
      </c>
      <c r="H22" s="5" t="n">
        <v>0.3</v>
      </c>
      <c r="I22" s="5" t="n">
        <v>3.4</v>
      </c>
      <c r="J22" s="5" t="n">
        <v>9</v>
      </c>
      <c r="K22" s="5" t="n">
        <v>38</v>
      </c>
      <c r="L22" s="5" t="n">
        <v>85</v>
      </c>
      <c r="M22" s="5" t="n">
        <v>0</v>
      </c>
      <c r="N22" s="5" t="n">
        <v>0.9</v>
      </c>
      <c r="O22" s="5" t="n">
        <v>177</v>
      </c>
      <c r="P22" s="5" t="n">
        <v>0.14</v>
      </c>
      <c r="Q22" s="5" t="n">
        <v>0.09</v>
      </c>
      <c r="R22" s="5" t="n">
        <v>0.7</v>
      </c>
      <c r="S22" s="5" t="n">
        <v>0.22</v>
      </c>
      <c r="T22" s="5" t="n">
        <v>61</v>
      </c>
      <c r="U22" s="5" t="n">
        <v>0</v>
      </c>
      <c r="V22" s="5" t="n">
        <v>42</v>
      </c>
      <c r="W22" s="5" t="n">
        <v>1.4</v>
      </c>
      <c r="X22" s="5" t="n">
        <v>23</v>
      </c>
      <c r="Y22" s="5" t="n">
        <v>0.4</v>
      </c>
      <c r="Z22" s="5" t="n">
        <v>389</v>
      </c>
      <c r="AA22" s="7" t="n">
        <v>2.7</v>
      </c>
    </row>
    <row r="23" customFormat="false" ht="26.25" hidden="false" customHeight="true" outlineLevel="0" collapsed="false">
      <c r="A23" s="4" t="s">
        <v>50</v>
      </c>
      <c r="B23" s="4" t="s">
        <v>28</v>
      </c>
      <c r="C23" s="5" t="n">
        <v>0.6</v>
      </c>
      <c r="D23" s="5"/>
      <c r="E23" s="4" t="s">
        <v>29</v>
      </c>
      <c r="F23" s="6" t="s">
        <v>28</v>
      </c>
      <c r="G23" s="5" t="n">
        <v>35</v>
      </c>
      <c r="H23" s="5" t="n">
        <v>0.3</v>
      </c>
      <c r="I23" s="5" t="n">
        <v>2.8</v>
      </c>
      <c r="J23" s="5" t="n">
        <v>6</v>
      </c>
      <c r="K23" s="5" t="n">
        <v>30</v>
      </c>
      <c r="L23" s="5" t="n">
        <v>60</v>
      </c>
      <c r="M23" s="5" t="n">
        <v>0</v>
      </c>
      <c r="N23" s="5" t="n">
        <v>0.7</v>
      </c>
      <c r="O23" s="5" t="n">
        <v>140</v>
      </c>
      <c r="P23" s="5" t="n">
        <v>0.1</v>
      </c>
      <c r="Q23" s="5" t="n">
        <v>0.07</v>
      </c>
      <c r="R23" s="5" t="n">
        <v>0.5</v>
      </c>
      <c r="S23" s="5" t="n">
        <v>0.17</v>
      </c>
      <c r="T23" s="5" t="n">
        <v>50</v>
      </c>
      <c r="U23" s="5" t="n">
        <v>0</v>
      </c>
      <c r="V23" s="5" t="n">
        <v>35</v>
      </c>
      <c r="W23" s="5" t="n">
        <v>1.1</v>
      </c>
      <c r="X23" s="5" t="n">
        <v>19</v>
      </c>
      <c r="Y23" s="5" t="n">
        <v>0.3</v>
      </c>
      <c r="Z23" s="5" t="n">
        <v>320</v>
      </c>
      <c r="AA23" s="7" t="n">
        <v>1.8</v>
      </c>
    </row>
    <row r="24" customFormat="false" ht="26.25" hidden="false" customHeight="true" outlineLevel="0" collapsed="false">
      <c r="A24" s="4" t="s">
        <v>51</v>
      </c>
      <c r="B24" s="4" t="s">
        <v>28</v>
      </c>
      <c r="C24" s="5" t="n">
        <v>0.2</v>
      </c>
      <c r="D24" s="5"/>
      <c r="E24" s="4" t="s">
        <v>29</v>
      </c>
      <c r="F24" s="6" t="s">
        <v>28</v>
      </c>
      <c r="G24" s="5" t="n">
        <v>43</v>
      </c>
      <c r="H24" s="5" t="n">
        <v>0.2</v>
      </c>
      <c r="I24" s="5" t="n">
        <v>1.6</v>
      </c>
      <c r="J24" s="5" t="n">
        <v>10</v>
      </c>
      <c r="K24" s="5" t="n">
        <v>2</v>
      </c>
      <c r="L24" s="5" t="n">
        <v>4.9</v>
      </c>
      <c r="M24" s="5" t="n">
        <v>0</v>
      </c>
      <c r="N24" s="5" t="n">
        <v>0</v>
      </c>
      <c r="O24" s="5" t="n">
        <v>0.2</v>
      </c>
      <c r="P24" s="5" t="n">
        <v>0.03</v>
      </c>
      <c r="Q24" s="5" t="n">
        <v>0.04</v>
      </c>
      <c r="R24" s="5" t="n">
        <v>0.3</v>
      </c>
      <c r="S24" s="5" t="n">
        <v>0.07</v>
      </c>
      <c r="T24" s="5" t="n">
        <v>109</v>
      </c>
      <c r="U24" s="5" t="n">
        <v>0</v>
      </c>
      <c r="V24" s="5" t="n">
        <v>16</v>
      </c>
      <c r="W24" s="5" t="n">
        <v>0.8</v>
      </c>
      <c r="X24" s="5" t="n">
        <v>23</v>
      </c>
      <c r="Y24" s="5" t="n">
        <v>0.4</v>
      </c>
      <c r="Z24" s="5" t="n">
        <v>325</v>
      </c>
      <c r="AA24" s="7" t="n">
        <v>6</v>
      </c>
    </row>
    <row r="25" customFormat="false" ht="26.25" hidden="false" customHeight="true" outlineLevel="0" collapsed="false">
      <c r="A25" s="4" t="s">
        <v>52</v>
      </c>
      <c r="B25" s="4" t="s">
        <v>28</v>
      </c>
      <c r="C25" s="5" t="n">
        <v>1.3</v>
      </c>
      <c r="D25" s="5"/>
      <c r="E25" s="4" t="s">
        <v>29</v>
      </c>
      <c r="F25" s="6" t="s">
        <v>28</v>
      </c>
      <c r="G25" s="5" t="n">
        <v>35</v>
      </c>
      <c r="H25" s="5" t="n">
        <v>0.1</v>
      </c>
      <c r="I25" s="5" t="n">
        <v>1.3</v>
      </c>
      <c r="J25" s="5" t="n">
        <v>7</v>
      </c>
      <c r="K25" s="5" t="n">
        <v>1</v>
      </c>
      <c r="L25" s="5" t="n">
        <v>3</v>
      </c>
      <c r="M25" s="5" t="n">
        <v>0</v>
      </c>
      <c r="N25" s="5" t="n">
        <v>0</v>
      </c>
      <c r="O25" s="5" t="n">
        <v>0.2</v>
      </c>
      <c r="P25" s="5" t="n">
        <v>0.02</v>
      </c>
      <c r="Q25" s="5" t="n">
        <v>0.03</v>
      </c>
      <c r="R25" s="5" t="n">
        <v>0.2</v>
      </c>
      <c r="S25" s="5" t="n">
        <v>0.05</v>
      </c>
      <c r="T25" s="5" t="n">
        <v>80</v>
      </c>
      <c r="U25" s="5" t="n">
        <v>0</v>
      </c>
      <c r="V25" s="5" t="n">
        <v>12</v>
      </c>
      <c r="W25" s="5" t="n">
        <v>0.6</v>
      </c>
      <c r="X25" s="5" t="n">
        <v>18</v>
      </c>
      <c r="Y25" s="5" t="n">
        <v>0.3</v>
      </c>
      <c r="Z25" s="5" t="n">
        <v>250</v>
      </c>
      <c r="AA25" s="7" t="n">
        <v>4.2</v>
      </c>
    </row>
    <row r="26" customFormat="false" ht="26.25" hidden="false" customHeight="true" outlineLevel="0" collapsed="false">
      <c r="A26" s="4" t="s">
        <v>53</v>
      </c>
      <c r="B26" s="4" t="s">
        <v>28</v>
      </c>
      <c r="C26" s="5" t="n">
        <v>0.2</v>
      </c>
      <c r="D26" s="5"/>
      <c r="E26" s="4" t="s">
        <v>29</v>
      </c>
      <c r="F26" s="6" t="s">
        <v>28</v>
      </c>
      <c r="G26" s="5" t="n">
        <v>27</v>
      </c>
      <c r="H26" s="5" t="n">
        <v>0.2</v>
      </c>
      <c r="I26" s="5" t="n">
        <v>1.4</v>
      </c>
      <c r="J26" s="5" t="n">
        <v>5</v>
      </c>
      <c r="K26" s="5" t="n">
        <v>3</v>
      </c>
      <c r="L26" s="5" t="n">
        <v>39</v>
      </c>
      <c r="M26" s="5" t="n">
        <v>0</v>
      </c>
      <c r="N26" s="5" t="n">
        <v>0.1</v>
      </c>
      <c r="O26" s="5" t="n">
        <v>32</v>
      </c>
      <c r="P26" s="5" t="n">
        <v>0.05</v>
      </c>
      <c r="Q26" s="5" t="n">
        <v>0.05</v>
      </c>
      <c r="R26" s="5" t="n">
        <v>0.4</v>
      </c>
      <c r="S26" s="5" t="n">
        <v>0.16</v>
      </c>
      <c r="T26" s="5" t="n">
        <v>18</v>
      </c>
      <c r="U26" s="5" t="n">
        <v>0</v>
      </c>
      <c r="V26" s="5" t="n">
        <v>42</v>
      </c>
      <c r="W26" s="5" t="n">
        <v>0.6</v>
      </c>
      <c r="X26" s="5" t="n">
        <v>13</v>
      </c>
      <c r="Y26" s="5" t="n">
        <v>0.3</v>
      </c>
      <c r="Z26" s="5" t="n">
        <v>240</v>
      </c>
      <c r="AA26" s="7" t="n">
        <v>2</v>
      </c>
    </row>
    <row r="27" customFormat="false" ht="26.25" hidden="false" customHeight="true" outlineLevel="0" collapsed="false">
      <c r="A27" s="4" t="s">
        <v>54</v>
      </c>
      <c r="B27" s="4" t="s">
        <v>28</v>
      </c>
      <c r="C27" s="5" t="n">
        <v>0.7</v>
      </c>
      <c r="D27" s="5"/>
      <c r="E27" s="4" t="s">
        <v>29</v>
      </c>
      <c r="F27" s="6" t="s">
        <v>28</v>
      </c>
      <c r="G27" s="5" t="n">
        <v>35</v>
      </c>
      <c r="H27" s="5" t="n">
        <v>0.5</v>
      </c>
      <c r="I27" s="5" t="n">
        <v>1</v>
      </c>
      <c r="J27" s="5" t="n">
        <v>6</v>
      </c>
      <c r="K27" s="5" t="n">
        <v>2</v>
      </c>
      <c r="L27" s="5" t="n">
        <v>15</v>
      </c>
      <c r="M27" s="5" t="n">
        <v>0</v>
      </c>
      <c r="N27" s="5" t="n">
        <v>0.1</v>
      </c>
      <c r="O27" s="5" t="n">
        <v>20</v>
      </c>
      <c r="P27" s="5" t="n">
        <v>0.03</v>
      </c>
      <c r="Q27" s="5" t="n">
        <v>0.03</v>
      </c>
      <c r="R27" s="5" t="n">
        <v>0.3</v>
      </c>
      <c r="S27" s="5" t="n">
        <v>0.1</v>
      </c>
      <c r="T27" s="5" t="n">
        <v>15</v>
      </c>
      <c r="U27" s="5" t="n">
        <v>0</v>
      </c>
      <c r="V27" s="5" t="n">
        <v>30</v>
      </c>
      <c r="W27" s="5" t="n">
        <v>0.5</v>
      </c>
      <c r="X27" s="5" t="n">
        <v>10</v>
      </c>
      <c r="Y27" s="5" t="n">
        <v>0.2</v>
      </c>
      <c r="Z27" s="5" t="n">
        <v>180</v>
      </c>
      <c r="AA27" s="7" t="n">
        <v>2.4</v>
      </c>
    </row>
    <row r="28" customFormat="false" ht="26.25" hidden="false" customHeight="true" outlineLevel="0" collapsed="false">
      <c r="A28" s="4" t="s">
        <v>55</v>
      </c>
      <c r="B28" s="4" t="s">
        <v>28</v>
      </c>
      <c r="C28" s="5" t="n">
        <v>0.3</v>
      </c>
      <c r="D28" s="5"/>
      <c r="E28" s="4" t="s">
        <v>29</v>
      </c>
      <c r="F28" s="6" t="s">
        <v>28</v>
      </c>
      <c r="G28" s="5" t="n">
        <v>25</v>
      </c>
      <c r="H28" s="5" t="n">
        <v>0.7</v>
      </c>
      <c r="I28" s="5" t="n">
        <v>2.6</v>
      </c>
      <c r="J28" s="5" t="n">
        <v>2</v>
      </c>
      <c r="K28" s="5" t="n">
        <v>119</v>
      </c>
      <c r="L28" s="5" t="n">
        <v>15</v>
      </c>
      <c r="M28" s="5" t="n">
        <v>0</v>
      </c>
      <c r="N28" s="5" t="n">
        <v>0.4</v>
      </c>
      <c r="O28" s="5" t="n">
        <v>109</v>
      </c>
      <c r="P28" s="5" t="n">
        <v>0.04</v>
      </c>
      <c r="Q28" s="5" t="n">
        <v>0.09</v>
      </c>
      <c r="R28" s="5" t="n">
        <v>0.3</v>
      </c>
      <c r="S28" s="5" t="n">
        <v>0.07</v>
      </c>
      <c r="T28" s="5" t="n">
        <v>97</v>
      </c>
      <c r="U28" s="5" t="n">
        <v>0</v>
      </c>
      <c r="V28" s="5" t="n">
        <v>160</v>
      </c>
      <c r="W28" s="5" t="n">
        <v>1.5</v>
      </c>
      <c r="X28" s="5" t="n">
        <v>47</v>
      </c>
      <c r="Y28" s="5" t="n">
        <v>0.5</v>
      </c>
      <c r="Z28" s="5" t="n">
        <v>370</v>
      </c>
      <c r="AA28" s="7" t="n">
        <v>0.4</v>
      </c>
    </row>
    <row r="29" customFormat="false" ht="26.25" hidden="false" customHeight="true" outlineLevel="0" collapsed="false">
      <c r="A29" s="4" t="s">
        <v>56</v>
      </c>
      <c r="B29" s="4" t="s">
        <v>28</v>
      </c>
      <c r="C29" s="5" t="n">
        <v>0.4</v>
      </c>
      <c r="D29" s="5"/>
      <c r="E29" s="4" t="s">
        <v>29</v>
      </c>
      <c r="F29" s="6" t="s">
        <v>28</v>
      </c>
      <c r="G29" s="5" t="n">
        <v>12</v>
      </c>
      <c r="H29" s="5" t="n">
        <v>0.1</v>
      </c>
      <c r="I29" s="5" t="n">
        <v>0.6</v>
      </c>
      <c r="J29" s="5" t="n">
        <v>3</v>
      </c>
      <c r="K29" s="5" t="n">
        <v>5</v>
      </c>
      <c r="L29" s="5" t="n">
        <v>3</v>
      </c>
      <c r="M29" s="5" t="n">
        <v>0</v>
      </c>
      <c r="N29" s="5" t="n">
        <v>0</v>
      </c>
      <c r="O29" s="5" t="n">
        <v>16</v>
      </c>
      <c r="P29" s="5" t="n">
        <v>0.02</v>
      </c>
      <c r="Q29" s="5" t="n">
        <v>0.02</v>
      </c>
      <c r="R29" s="5" t="n">
        <v>0.2</v>
      </c>
      <c r="S29" s="5" t="n">
        <v>0.03</v>
      </c>
      <c r="T29" s="5" t="n">
        <v>13</v>
      </c>
      <c r="U29" s="5" t="n">
        <v>0</v>
      </c>
      <c r="V29" s="5" t="n">
        <v>16</v>
      </c>
      <c r="W29" s="5" t="n">
        <v>0.3</v>
      </c>
      <c r="X29" s="5" t="n">
        <v>13</v>
      </c>
      <c r="Y29" s="5" t="n">
        <v>0.2</v>
      </c>
      <c r="Z29" s="5" t="n">
        <v>150</v>
      </c>
      <c r="AA29" s="7" t="n">
        <v>1</v>
      </c>
    </row>
    <row r="30" customFormat="false" ht="26.25" hidden="false" customHeight="true" outlineLevel="0" collapsed="false">
      <c r="A30" s="4" t="s">
        <v>57</v>
      </c>
      <c r="B30" s="4" t="s">
        <v>28</v>
      </c>
      <c r="C30" s="5" t="n">
        <v>0.4</v>
      </c>
      <c r="D30" s="5"/>
      <c r="E30" s="4" t="s">
        <v>29</v>
      </c>
      <c r="F30" s="6" t="s">
        <v>28</v>
      </c>
      <c r="G30" s="5" t="n">
        <v>16</v>
      </c>
      <c r="H30" s="5" t="n">
        <v>0.2</v>
      </c>
      <c r="I30" s="5" t="n">
        <v>1.2</v>
      </c>
      <c r="J30" s="5" t="n">
        <v>2</v>
      </c>
      <c r="K30" s="5" t="n">
        <v>150</v>
      </c>
      <c r="L30" s="5" t="n">
        <v>10</v>
      </c>
      <c r="M30" s="5" t="n">
        <v>0</v>
      </c>
      <c r="N30" s="5" t="n">
        <v>0.3</v>
      </c>
      <c r="O30" s="5" t="n">
        <v>120</v>
      </c>
      <c r="P30" s="5" t="n">
        <v>0.04</v>
      </c>
      <c r="Q30" s="5" t="n">
        <v>0.06</v>
      </c>
      <c r="R30" s="5" t="n">
        <v>0.3</v>
      </c>
      <c r="S30" s="5" t="n">
        <v>0.06</v>
      </c>
      <c r="T30" s="5" t="n">
        <v>50</v>
      </c>
      <c r="U30" s="5" t="n">
        <v>0</v>
      </c>
      <c r="V30" s="5" t="n">
        <v>35</v>
      </c>
      <c r="W30" s="5" t="n">
        <v>0.8</v>
      </c>
      <c r="X30" s="5" t="n">
        <v>15</v>
      </c>
      <c r="Y30" s="5" t="n">
        <v>0.2</v>
      </c>
      <c r="Z30" s="5" t="n">
        <v>200</v>
      </c>
      <c r="AA30" s="7" t="n">
        <v>0.6</v>
      </c>
    </row>
    <row r="31" customFormat="false" ht="26.25" hidden="false" customHeight="true" outlineLevel="0" collapsed="false">
      <c r="A31" s="4" t="s">
        <v>58</v>
      </c>
      <c r="B31" s="4" t="s">
        <v>28</v>
      </c>
      <c r="C31" s="5" t="n">
        <v>0.2</v>
      </c>
      <c r="D31" s="5"/>
      <c r="E31" s="4" t="s">
        <v>29</v>
      </c>
      <c r="F31" s="6" t="s">
        <v>28</v>
      </c>
      <c r="G31" s="5" t="n">
        <v>16</v>
      </c>
      <c r="H31" s="5" t="n">
        <v>0.2</v>
      </c>
      <c r="I31" s="5" t="n">
        <v>0.7</v>
      </c>
      <c r="J31" s="5" t="n">
        <v>3</v>
      </c>
      <c r="K31" s="5" t="n">
        <v>4</v>
      </c>
      <c r="L31" s="5" t="n">
        <v>3</v>
      </c>
      <c r="M31" s="5" t="n">
        <v>0</v>
      </c>
      <c r="N31" s="5" t="n">
        <v>0.3</v>
      </c>
      <c r="O31" s="5" t="n">
        <v>29</v>
      </c>
      <c r="P31" s="5" t="n">
        <v>0.03</v>
      </c>
      <c r="Q31" s="5" t="n">
        <v>0.03</v>
      </c>
      <c r="R31" s="5" t="n">
        <v>0.3</v>
      </c>
      <c r="S31" s="5" t="n">
        <v>0.07</v>
      </c>
      <c r="T31" s="5" t="n">
        <v>36</v>
      </c>
      <c r="U31" s="5" t="n">
        <v>0</v>
      </c>
      <c r="V31" s="5" t="n">
        <v>40</v>
      </c>
      <c r="W31" s="5" t="n">
        <v>0.4</v>
      </c>
      <c r="X31" s="5" t="n">
        <v>11</v>
      </c>
      <c r="Y31" s="5" t="n">
        <v>0.1</v>
      </c>
      <c r="Z31" s="5" t="n">
        <v>260</v>
      </c>
      <c r="AA31" s="7" t="n">
        <v>1</v>
      </c>
    </row>
    <row r="32" customFormat="false" ht="26.25" hidden="false" customHeight="true" outlineLevel="0" collapsed="false">
      <c r="A32" s="4" t="s">
        <v>59</v>
      </c>
      <c r="B32" s="4" t="s">
        <v>28</v>
      </c>
      <c r="C32" s="5" t="n">
        <v>0.7</v>
      </c>
      <c r="D32" s="5"/>
      <c r="E32" s="4" t="s">
        <v>29</v>
      </c>
      <c r="F32" s="6" t="s">
        <v>28</v>
      </c>
      <c r="G32" s="5" t="n">
        <v>20</v>
      </c>
      <c r="H32" s="5" t="n">
        <v>0.1</v>
      </c>
      <c r="I32" s="5" t="n">
        <v>2.2</v>
      </c>
      <c r="J32" s="5" t="n">
        <v>4</v>
      </c>
      <c r="K32" s="5" t="n">
        <v>38</v>
      </c>
      <c r="L32" s="5" t="n">
        <v>5.6</v>
      </c>
      <c r="M32" s="5" t="n">
        <v>0</v>
      </c>
      <c r="N32" s="5" t="n">
        <v>1.1</v>
      </c>
      <c r="O32" s="5" t="n">
        <v>41.6</v>
      </c>
      <c r="P32" s="5" t="n">
        <v>0.14</v>
      </c>
      <c r="Q32" s="5" t="n">
        <v>0.14</v>
      </c>
      <c r="R32" s="5" t="n">
        <v>1</v>
      </c>
      <c r="S32" s="5" t="n">
        <v>0.09</v>
      </c>
      <c r="T32" s="5" t="n">
        <v>52</v>
      </c>
      <c r="U32" s="5" t="n">
        <v>0</v>
      </c>
      <c r="V32" s="5" t="n">
        <v>24</v>
      </c>
      <c r="W32" s="5" t="n">
        <v>2.1</v>
      </c>
      <c r="X32" s="5" t="n">
        <v>14</v>
      </c>
      <c r="Y32" s="5" t="n">
        <v>0.5</v>
      </c>
      <c r="Z32" s="5" t="n">
        <v>202</v>
      </c>
      <c r="AA32" s="7" t="n">
        <v>1.2</v>
      </c>
    </row>
    <row r="33" customFormat="false" ht="26.25" hidden="false" customHeight="true" outlineLevel="0" collapsed="false">
      <c r="A33" s="4" t="s">
        <v>60</v>
      </c>
      <c r="B33" s="4" t="s">
        <v>28</v>
      </c>
      <c r="C33" s="5" t="n">
        <v>0.2</v>
      </c>
      <c r="D33" s="5"/>
      <c r="E33" s="4" t="s">
        <v>29</v>
      </c>
      <c r="F33" s="6" t="s">
        <v>28</v>
      </c>
      <c r="G33" s="5" t="n">
        <v>23</v>
      </c>
      <c r="H33" s="5" t="n">
        <v>0.4</v>
      </c>
      <c r="I33" s="5" t="n">
        <v>2.9</v>
      </c>
      <c r="J33" s="5" t="n">
        <v>3.6</v>
      </c>
      <c r="K33" s="5" t="n">
        <v>469</v>
      </c>
      <c r="L33" s="5" t="n">
        <v>28</v>
      </c>
      <c r="M33" s="5" t="n">
        <v>0</v>
      </c>
      <c r="N33" s="5" t="n">
        <v>2</v>
      </c>
      <c r="O33" s="5" t="n">
        <v>483</v>
      </c>
      <c r="P33" s="5" t="n">
        <v>0.08</v>
      </c>
      <c r="Q33" s="5" t="n">
        <v>0.19</v>
      </c>
      <c r="R33" s="5" t="n">
        <v>0.7</v>
      </c>
      <c r="S33" s="5" t="n">
        <v>0.2</v>
      </c>
      <c r="T33" s="5" t="n">
        <v>194</v>
      </c>
      <c r="U33" s="5" t="n">
        <v>0</v>
      </c>
      <c r="V33" s="5" t="n">
        <v>99</v>
      </c>
      <c r="W33" s="5" t="n">
        <v>2.7</v>
      </c>
      <c r="X33" s="5" t="n">
        <v>79</v>
      </c>
      <c r="Y33" s="5" t="n">
        <v>0.5</v>
      </c>
      <c r="Z33" s="5" t="n">
        <v>558</v>
      </c>
      <c r="AA33" s="7" t="n">
        <v>0.4</v>
      </c>
    </row>
    <row r="34" customFormat="false" ht="26.25" hidden="false" customHeight="true" outlineLevel="0" collapsed="false">
      <c r="A34" s="4" t="s">
        <v>61</v>
      </c>
      <c r="B34" s="4" t="s">
        <v>28</v>
      </c>
      <c r="C34" s="5" t="n">
        <v>0.6</v>
      </c>
      <c r="D34" s="5"/>
      <c r="E34" s="4" t="s">
        <v>29</v>
      </c>
      <c r="F34" s="6" t="s">
        <v>28</v>
      </c>
      <c r="G34" s="5" t="n">
        <v>20</v>
      </c>
      <c r="H34" s="5" t="n">
        <v>0.3</v>
      </c>
      <c r="I34" s="5" t="n">
        <v>2.5</v>
      </c>
      <c r="J34" s="5" t="n">
        <v>2.5</v>
      </c>
      <c r="K34" s="5" t="n">
        <v>400</v>
      </c>
      <c r="L34" s="5" t="n">
        <v>15</v>
      </c>
      <c r="M34" s="5" t="n">
        <v>0</v>
      </c>
      <c r="N34" s="5" t="n">
        <v>1.5</v>
      </c>
      <c r="O34" s="5" t="n">
        <v>400</v>
      </c>
      <c r="P34" s="5" t="n">
        <v>0.05</v>
      </c>
      <c r="Q34" s="5" t="n">
        <v>0.12</v>
      </c>
      <c r="R34" s="5" t="n">
        <v>0.5</v>
      </c>
      <c r="S34" s="5" t="n">
        <v>0.15</v>
      </c>
      <c r="T34" s="5" t="n">
        <v>150</v>
      </c>
      <c r="U34" s="5" t="n">
        <v>0</v>
      </c>
      <c r="V34" s="5" t="n">
        <v>90</v>
      </c>
      <c r="W34" s="5" t="n">
        <v>2</v>
      </c>
      <c r="X34" s="5" t="n">
        <v>60</v>
      </c>
      <c r="Y34" s="5" t="n">
        <v>0.4</v>
      </c>
      <c r="Z34" s="5" t="n">
        <v>450</v>
      </c>
      <c r="AA34" s="7" t="n">
        <v>0.2</v>
      </c>
    </row>
    <row r="35" customFormat="false" ht="26.25" hidden="false" customHeight="true" outlineLevel="0" collapsed="false">
      <c r="A35" s="4" t="s">
        <v>62</v>
      </c>
      <c r="B35" s="4" t="s">
        <v>28</v>
      </c>
      <c r="C35" s="5" t="n">
        <v>0.2</v>
      </c>
      <c r="D35" s="5"/>
      <c r="E35" s="4" t="s">
        <v>29</v>
      </c>
      <c r="F35" s="6" t="s">
        <v>28</v>
      </c>
      <c r="G35" s="5" t="n">
        <v>17</v>
      </c>
      <c r="H35" s="5" t="n">
        <v>0.3</v>
      </c>
      <c r="I35" s="5" t="n">
        <v>1.2</v>
      </c>
      <c r="J35" s="5" t="n">
        <v>3</v>
      </c>
      <c r="K35" s="5" t="n">
        <v>10</v>
      </c>
      <c r="L35" s="5" t="n">
        <v>18</v>
      </c>
      <c r="M35" s="5" t="n">
        <v>0</v>
      </c>
      <c r="N35" s="5" t="n">
        <v>0.1</v>
      </c>
      <c r="O35" s="5" t="n">
        <v>4.3</v>
      </c>
      <c r="P35" s="5" t="n">
        <v>0.05</v>
      </c>
      <c r="Q35" s="5" t="n">
        <v>0.09</v>
      </c>
      <c r="R35" s="5" t="n">
        <v>0.5</v>
      </c>
      <c r="S35" s="5" t="n">
        <v>0.22</v>
      </c>
      <c r="T35" s="5" t="n">
        <v>24</v>
      </c>
      <c r="U35" s="5" t="n">
        <v>0</v>
      </c>
      <c r="V35" s="5" t="n">
        <v>16</v>
      </c>
      <c r="W35" s="5" t="n">
        <v>0.4</v>
      </c>
      <c r="X35" s="5" t="n">
        <v>18</v>
      </c>
      <c r="Y35" s="5" t="n">
        <v>0.3</v>
      </c>
      <c r="Z35" s="5" t="n">
        <v>260</v>
      </c>
      <c r="AA35" s="7" t="n">
        <v>1</v>
      </c>
    </row>
    <row r="36" customFormat="false" ht="26.25" hidden="false" customHeight="true" outlineLevel="0" collapsed="false">
      <c r="A36" s="4" t="s">
        <v>63</v>
      </c>
      <c r="B36" s="4" t="s">
        <v>28</v>
      </c>
      <c r="C36" s="5" t="n">
        <v>0.2</v>
      </c>
      <c r="D36" s="5"/>
      <c r="E36" s="4" t="s">
        <v>29</v>
      </c>
      <c r="F36" s="6" t="s">
        <v>28</v>
      </c>
      <c r="G36" s="5" t="n">
        <v>40</v>
      </c>
      <c r="H36" s="5" t="n">
        <v>0.1</v>
      </c>
      <c r="I36" s="5" t="n">
        <v>1.1</v>
      </c>
      <c r="J36" s="5" t="n">
        <v>9</v>
      </c>
      <c r="K36" s="5" t="n">
        <v>0</v>
      </c>
      <c r="L36" s="5" t="n">
        <v>7</v>
      </c>
      <c r="M36" s="5" t="n">
        <v>0</v>
      </c>
      <c r="N36" s="5" t="n">
        <v>0.02</v>
      </c>
      <c r="O36" s="5" t="n">
        <v>0.4</v>
      </c>
      <c r="P36" s="5" t="n">
        <v>0.05</v>
      </c>
      <c r="Q36" s="5" t="n">
        <v>0.02</v>
      </c>
      <c r="R36" s="5" t="n">
        <v>0.1</v>
      </c>
      <c r="S36" s="5" t="n">
        <v>0.12</v>
      </c>
      <c r="T36" s="5" t="n">
        <v>19</v>
      </c>
      <c r="U36" s="5" t="n">
        <v>0</v>
      </c>
      <c r="V36" s="5" t="n">
        <v>23</v>
      </c>
      <c r="W36" s="5" t="n">
        <v>0.2</v>
      </c>
      <c r="X36" s="5" t="n">
        <v>10</v>
      </c>
      <c r="Y36" s="5" t="n">
        <v>0.2</v>
      </c>
      <c r="Z36" s="5" t="n">
        <v>150</v>
      </c>
      <c r="AA36" s="7" t="n">
        <v>4</v>
      </c>
    </row>
    <row r="37" customFormat="false" ht="26.25" hidden="false" customHeight="true" outlineLevel="0" collapsed="false">
      <c r="A37" s="4" t="s">
        <v>64</v>
      </c>
      <c r="B37" s="4" t="s">
        <v>28</v>
      </c>
      <c r="C37" s="5" t="n">
        <v>0.1</v>
      </c>
      <c r="D37" s="5"/>
      <c r="E37" s="4" t="s">
        <v>29</v>
      </c>
      <c r="F37" s="6" t="s">
        <v>28</v>
      </c>
      <c r="G37" s="5" t="n">
        <v>25</v>
      </c>
      <c r="H37" s="5" t="n">
        <v>0.1</v>
      </c>
      <c r="I37" s="5" t="n">
        <v>1.3</v>
      </c>
      <c r="J37" s="5" t="n">
        <v>4.2</v>
      </c>
      <c r="K37" s="5" t="n">
        <v>1</v>
      </c>
      <c r="L37" s="5" t="n">
        <v>37</v>
      </c>
      <c r="M37" s="5" t="n">
        <v>0</v>
      </c>
      <c r="N37" s="5" t="n">
        <v>0.1</v>
      </c>
      <c r="O37" s="5" t="n">
        <v>76</v>
      </c>
      <c r="P37" s="5" t="n">
        <v>0.05</v>
      </c>
      <c r="Q37" s="5" t="n">
        <v>0.04</v>
      </c>
      <c r="R37" s="5" t="n">
        <v>0.3</v>
      </c>
      <c r="S37" s="5" t="n">
        <v>0.15</v>
      </c>
      <c r="T37" s="5" t="n">
        <v>43</v>
      </c>
      <c r="U37" s="5" t="n">
        <v>0</v>
      </c>
      <c r="V37" s="5" t="n">
        <v>40</v>
      </c>
      <c r="W37" s="5" t="n">
        <v>0.4</v>
      </c>
      <c r="X37" s="5" t="n">
        <v>12</v>
      </c>
      <c r="Y37" s="5" t="n">
        <v>0.2</v>
      </c>
      <c r="Z37" s="5" t="n">
        <v>170</v>
      </c>
      <c r="AA37" s="7" t="n">
        <v>1.5</v>
      </c>
    </row>
    <row r="38" customFormat="false" ht="26.25" hidden="false" customHeight="true" outlineLevel="0" collapsed="false">
      <c r="A38" s="4" t="s">
        <v>65</v>
      </c>
      <c r="B38" s="4" t="s">
        <v>28</v>
      </c>
      <c r="C38" s="5" t="n">
        <v>0.3</v>
      </c>
      <c r="D38" s="5"/>
      <c r="E38" s="4" t="s">
        <v>29</v>
      </c>
      <c r="F38" s="6" t="s">
        <v>28</v>
      </c>
      <c r="G38" s="5" t="n">
        <v>21</v>
      </c>
      <c r="H38" s="5" t="n">
        <v>0.4</v>
      </c>
      <c r="I38" s="5" t="n">
        <v>2</v>
      </c>
      <c r="J38" s="5" t="n">
        <v>3.6</v>
      </c>
      <c r="K38" s="5" t="n">
        <v>281</v>
      </c>
      <c r="L38" s="5" t="n">
        <v>35</v>
      </c>
      <c r="M38" s="5" t="n">
        <v>0</v>
      </c>
      <c r="N38" s="5" t="n">
        <v>0.6</v>
      </c>
      <c r="O38" s="5" t="n">
        <v>300</v>
      </c>
      <c r="P38" s="5" t="n">
        <v>0.07</v>
      </c>
      <c r="Q38" s="5" t="n">
        <v>0.09</v>
      </c>
      <c r="R38" s="5" t="n">
        <v>0.4</v>
      </c>
      <c r="S38" s="5" t="n">
        <v>0.24</v>
      </c>
      <c r="T38" s="5" t="n">
        <v>145</v>
      </c>
      <c r="U38" s="5" t="n">
        <v>0</v>
      </c>
      <c r="V38" s="5" t="n">
        <v>38</v>
      </c>
      <c r="W38" s="5" t="n">
        <v>2</v>
      </c>
      <c r="X38" s="5" t="n">
        <v>13</v>
      </c>
      <c r="Y38" s="5" t="n">
        <v>0.5</v>
      </c>
      <c r="Z38" s="5" t="n">
        <v>459</v>
      </c>
      <c r="AA38" s="7" t="n">
        <v>1.1</v>
      </c>
    </row>
    <row r="39" customFormat="false" ht="26.25" hidden="false" customHeight="true" outlineLevel="0" collapsed="false">
      <c r="A39" s="4" t="s">
        <v>66</v>
      </c>
      <c r="B39" s="4" t="s">
        <v>28</v>
      </c>
      <c r="C39" s="5" t="n">
        <v>1.1</v>
      </c>
      <c r="D39" s="5"/>
      <c r="E39" s="4" t="s">
        <v>29</v>
      </c>
      <c r="F39" s="6" t="s">
        <v>28</v>
      </c>
      <c r="G39" s="5" t="n">
        <v>18</v>
      </c>
      <c r="H39" s="5" t="n">
        <v>0.2</v>
      </c>
      <c r="I39" s="5" t="n">
        <v>0.9</v>
      </c>
      <c r="J39" s="5" t="n">
        <v>3.9</v>
      </c>
      <c r="K39" s="5" t="n">
        <v>42</v>
      </c>
      <c r="L39" s="5" t="n">
        <v>14</v>
      </c>
      <c r="M39" s="5" t="n">
        <v>0</v>
      </c>
      <c r="N39" s="5" t="n">
        <v>0.5</v>
      </c>
      <c r="O39" s="5" t="n">
        <v>8</v>
      </c>
      <c r="P39" s="5" t="n">
        <v>0.04</v>
      </c>
      <c r="Q39" s="5" t="n">
        <v>0.02</v>
      </c>
      <c r="R39" s="5" t="n">
        <v>0.6</v>
      </c>
      <c r="S39" s="5" t="n">
        <v>0.08</v>
      </c>
      <c r="T39" s="5" t="n">
        <v>15</v>
      </c>
      <c r="U39" s="5" t="n">
        <v>0</v>
      </c>
      <c r="V39" s="5" t="n">
        <v>10</v>
      </c>
      <c r="W39" s="5" t="n">
        <v>0.3</v>
      </c>
      <c r="X39" s="5" t="n">
        <v>11</v>
      </c>
      <c r="Y39" s="5" t="n">
        <v>0.2</v>
      </c>
      <c r="Z39" s="5" t="n">
        <v>240</v>
      </c>
      <c r="AA39" s="7" t="n">
        <v>2.1</v>
      </c>
    </row>
    <row r="40" customFormat="false" ht="26.25" hidden="false" customHeight="true" outlineLevel="0" collapsed="false">
      <c r="A40" s="4" t="s">
        <v>67</v>
      </c>
      <c r="B40" s="4" t="s">
        <v>28</v>
      </c>
      <c r="C40" s="5" t="n">
        <v>2.9</v>
      </c>
      <c r="D40" s="5"/>
      <c r="E40" s="4" t="s">
        <v>29</v>
      </c>
      <c r="F40" s="6" t="s">
        <v>28</v>
      </c>
      <c r="G40" s="5" t="n">
        <v>18</v>
      </c>
      <c r="H40" s="5" t="n">
        <v>0.2</v>
      </c>
      <c r="I40" s="5" t="n">
        <v>0.9</v>
      </c>
      <c r="J40" s="5" t="n">
        <v>3.9</v>
      </c>
      <c r="K40" s="5" t="n">
        <v>42</v>
      </c>
      <c r="L40" s="5" t="n">
        <v>14</v>
      </c>
      <c r="M40" s="5" t="n">
        <v>0</v>
      </c>
      <c r="N40" s="5" t="n">
        <v>0.5</v>
      </c>
      <c r="O40" s="5" t="n">
        <v>8</v>
      </c>
      <c r="P40" s="5" t="n">
        <v>0.04</v>
      </c>
      <c r="Q40" s="5" t="n">
        <v>0.02</v>
      </c>
      <c r="R40" s="5" t="n">
        <v>0.6</v>
      </c>
      <c r="S40" s="5" t="n">
        <v>0.08</v>
      </c>
      <c r="T40" s="5" t="n">
        <v>15</v>
      </c>
      <c r="U40" s="5" t="n">
        <v>0</v>
      </c>
      <c r="V40" s="5" t="n">
        <v>10</v>
      </c>
      <c r="W40" s="5" t="n">
        <v>0.3</v>
      </c>
      <c r="X40" s="5" t="n">
        <v>11</v>
      </c>
      <c r="Y40" s="5" t="n">
        <v>0.2</v>
      </c>
      <c r="Z40" s="5" t="n">
        <v>240</v>
      </c>
      <c r="AA40" s="7" t="n">
        <v>2.1</v>
      </c>
    </row>
    <row r="41" customFormat="false" ht="26.25" hidden="false" customHeight="true" outlineLevel="0" collapsed="false">
      <c r="A41" s="4" t="s">
        <v>68</v>
      </c>
      <c r="B41" s="4" t="s">
        <v>28</v>
      </c>
      <c r="C41" s="5" t="n">
        <v>0.8</v>
      </c>
      <c r="D41" s="5"/>
      <c r="E41" s="4" t="s">
        <v>29</v>
      </c>
      <c r="F41" s="6" t="s">
        <v>28</v>
      </c>
      <c r="G41" s="5" t="n">
        <v>18</v>
      </c>
      <c r="H41" s="5" t="n">
        <v>0.2</v>
      </c>
      <c r="I41" s="5" t="n">
        <v>0.9</v>
      </c>
      <c r="J41" s="5" t="n">
        <v>3.9</v>
      </c>
      <c r="K41" s="5" t="n">
        <v>42</v>
      </c>
      <c r="L41" s="5" t="n">
        <v>14</v>
      </c>
      <c r="M41" s="5" t="n">
        <v>0</v>
      </c>
      <c r="N41" s="5" t="n">
        <v>0.5</v>
      </c>
      <c r="O41" s="5" t="n">
        <v>8</v>
      </c>
      <c r="P41" s="5" t="n">
        <v>0.04</v>
      </c>
      <c r="Q41" s="5" t="n">
        <v>0.02</v>
      </c>
      <c r="R41" s="5" t="n">
        <v>0.6</v>
      </c>
      <c r="S41" s="5" t="n">
        <v>0.08</v>
      </c>
      <c r="T41" s="5" t="n">
        <v>15</v>
      </c>
      <c r="U41" s="5" t="n">
        <v>0</v>
      </c>
      <c r="V41" s="5" t="n">
        <v>10</v>
      </c>
      <c r="W41" s="5" t="n">
        <v>0.3</v>
      </c>
      <c r="X41" s="5" t="n">
        <v>11</v>
      </c>
      <c r="Y41" s="5" t="n">
        <v>0.2</v>
      </c>
      <c r="Z41" s="5" t="n">
        <v>240</v>
      </c>
      <c r="AA41" s="7" t="n">
        <v>2.1</v>
      </c>
    </row>
    <row r="42" customFormat="false" ht="26.25" hidden="false" customHeight="true" outlineLevel="0" collapsed="false">
      <c r="A42" s="4" t="s">
        <v>69</v>
      </c>
      <c r="B42" s="4" t="s">
        <v>28</v>
      </c>
      <c r="C42" s="5" t="n">
        <v>0.4</v>
      </c>
      <c r="D42" s="5"/>
      <c r="E42" s="4" t="s">
        <v>29</v>
      </c>
      <c r="F42" s="6" t="s">
        <v>28</v>
      </c>
      <c r="G42" s="5" t="n">
        <v>18</v>
      </c>
      <c r="H42" s="5" t="n">
        <v>0.2</v>
      </c>
      <c r="I42" s="5" t="n">
        <v>0.9</v>
      </c>
      <c r="J42" s="5" t="n">
        <v>3.9</v>
      </c>
      <c r="K42" s="5" t="n">
        <v>42</v>
      </c>
      <c r="L42" s="5" t="n">
        <v>14</v>
      </c>
      <c r="M42" s="5" t="n">
        <v>0</v>
      </c>
      <c r="N42" s="5" t="n">
        <v>0.5</v>
      </c>
      <c r="O42" s="5" t="n">
        <v>8</v>
      </c>
      <c r="P42" s="5" t="n">
        <v>0.04</v>
      </c>
      <c r="Q42" s="5" t="n">
        <v>0.02</v>
      </c>
      <c r="R42" s="5" t="n">
        <v>0.6</v>
      </c>
      <c r="S42" s="5" t="n">
        <v>0.08</v>
      </c>
      <c r="T42" s="5" t="n">
        <v>15</v>
      </c>
      <c r="U42" s="5" t="n">
        <v>0</v>
      </c>
      <c r="V42" s="5" t="n">
        <v>10</v>
      </c>
      <c r="W42" s="5" t="n">
        <v>0.3</v>
      </c>
      <c r="X42" s="5" t="n">
        <v>11</v>
      </c>
      <c r="Y42" s="5" t="n">
        <v>0.2</v>
      </c>
      <c r="Z42" s="5" t="n">
        <v>240</v>
      </c>
      <c r="AA42" s="7" t="n">
        <v>2.1</v>
      </c>
    </row>
    <row r="43" customFormat="false" ht="26.25" hidden="false" customHeight="true" outlineLevel="0" collapsed="false">
      <c r="A43" s="4" t="s">
        <v>70</v>
      </c>
      <c r="B43" s="4" t="s">
        <v>28</v>
      </c>
      <c r="C43" s="5" t="n">
        <v>0.9</v>
      </c>
      <c r="D43" s="5"/>
      <c r="E43" s="4" t="s">
        <v>29</v>
      </c>
      <c r="F43" s="6" t="s">
        <v>28</v>
      </c>
      <c r="G43" s="5" t="n">
        <v>18</v>
      </c>
      <c r="H43" s="5" t="n">
        <v>0.2</v>
      </c>
      <c r="I43" s="5" t="n">
        <v>0.9</v>
      </c>
      <c r="J43" s="5" t="n">
        <v>3.9</v>
      </c>
      <c r="K43" s="5" t="n">
        <v>42</v>
      </c>
      <c r="L43" s="5" t="n">
        <v>20</v>
      </c>
      <c r="M43" s="5" t="n">
        <v>0</v>
      </c>
      <c r="N43" s="5" t="n">
        <v>0.5</v>
      </c>
      <c r="O43" s="5" t="n">
        <v>8</v>
      </c>
      <c r="P43" s="5" t="n">
        <v>0.04</v>
      </c>
      <c r="Q43" s="5" t="n">
        <v>0.02</v>
      </c>
      <c r="R43" s="5" t="n">
        <v>0.6</v>
      </c>
      <c r="S43" s="5" t="n">
        <v>0.08</v>
      </c>
      <c r="T43" s="5" t="n">
        <v>15</v>
      </c>
      <c r="U43" s="5" t="n">
        <v>0</v>
      </c>
      <c r="V43" s="5" t="n">
        <v>10</v>
      </c>
      <c r="W43" s="5" t="n">
        <v>0.3</v>
      </c>
      <c r="X43" s="5" t="n">
        <v>11</v>
      </c>
      <c r="Y43" s="5" t="n">
        <v>0.2</v>
      </c>
      <c r="Z43" s="5" t="n">
        <v>240</v>
      </c>
      <c r="AA43" s="7" t="n">
        <v>2.9</v>
      </c>
    </row>
    <row r="44" customFormat="false" ht="26.25" hidden="false" customHeight="true" outlineLevel="0" collapsed="false">
      <c r="A44" s="4" t="s">
        <v>71</v>
      </c>
      <c r="B44" s="4" t="s">
        <v>28</v>
      </c>
      <c r="C44" s="5" t="n">
        <v>0.3</v>
      </c>
      <c r="D44" s="5"/>
      <c r="E44" s="4" t="s">
        <v>29</v>
      </c>
      <c r="F44" s="6" t="s">
        <v>28</v>
      </c>
      <c r="G44" s="5" t="n">
        <v>18</v>
      </c>
      <c r="H44" s="5" t="n">
        <v>0.2</v>
      </c>
      <c r="I44" s="5" t="n">
        <v>0.9</v>
      </c>
      <c r="J44" s="5" t="n">
        <v>3.9</v>
      </c>
      <c r="K44" s="5" t="n">
        <v>42</v>
      </c>
      <c r="L44" s="5" t="n">
        <v>14</v>
      </c>
      <c r="M44" s="5" t="n">
        <v>0</v>
      </c>
      <c r="N44" s="5" t="n">
        <v>0.5</v>
      </c>
      <c r="O44" s="5" t="n">
        <v>8</v>
      </c>
      <c r="P44" s="5" t="n">
        <v>0.04</v>
      </c>
      <c r="Q44" s="5" t="n">
        <v>0.02</v>
      </c>
      <c r="R44" s="5" t="n">
        <v>0.6</v>
      </c>
      <c r="S44" s="5" t="n">
        <v>0.08</v>
      </c>
      <c r="T44" s="5" t="n">
        <v>15</v>
      </c>
      <c r="U44" s="5" t="n">
        <v>0</v>
      </c>
      <c r="V44" s="5" t="n">
        <v>10</v>
      </c>
      <c r="W44" s="5" t="n">
        <v>0.3</v>
      </c>
      <c r="X44" s="5" t="n">
        <v>11</v>
      </c>
      <c r="Y44" s="5" t="n">
        <v>0.2</v>
      </c>
      <c r="Z44" s="5" t="n">
        <v>240</v>
      </c>
      <c r="AA44" s="7" t="n">
        <v>2.1</v>
      </c>
    </row>
    <row r="45" customFormat="false" ht="26.25" hidden="false" customHeight="true" outlineLevel="0" collapsed="false">
      <c r="A45" s="4" t="s">
        <v>72</v>
      </c>
      <c r="B45" s="4" t="s">
        <v>28</v>
      </c>
      <c r="C45" s="5" t="n">
        <v>1.8</v>
      </c>
      <c r="D45" s="5"/>
      <c r="E45" s="4" t="s">
        <v>29</v>
      </c>
      <c r="F45" s="6" t="s">
        <v>28</v>
      </c>
      <c r="G45" s="5" t="n">
        <v>32</v>
      </c>
      <c r="H45" s="5" t="n">
        <v>0.3</v>
      </c>
      <c r="I45" s="5" t="n">
        <v>1.6</v>
      </c>
      <c r="J45" s="5" t="n">
        <v>6</v>
      </c>
      <c r="K45" s="5" t="n">
        <v>50</v>
      </c>
      <c r="L45" s="5" t="n">
        <v>10</v>
      </c>
      <c r="M45" s="5" t="n">
        <v>0</v>
      </c>
      <c r="N45" s="5" t="n">
        <v>0.8</v>
      </c>
      <c r="O45" s="5" t="n">
        <v>10</v>
      </c>
      <c r="P45" s="5" t="n">
        <v>0.06</v>
      </c>
      <c r="Q45" s="5" t="n">
        <v>0.03</v>
      </c>
      <c r="R45" s="5" t="n">
        <v>1</v>
      </c>
      <c r="S45" s="5" t="n">
        <v>0.11</v>
      </c>
      <c r="T45" s="5" t="n">
        <v>15</v>
      </c>
      <c r="U45" s="5" t="n">
        <v>0</v>
      </c>
      <c r="V45" s="5" t="n">
        <v>15</v>
      </c>
      <c r="W45" s="5" t="n">
        <v>0.8</v>
      </c>
      <c r="X45" s="5" t="n">
        <v>15</v>
      </c>
      <c r="Y45" s="5" t="n">
        <v>0.3</v>
      </c>
      <c r="Z45" s="5" t="n">
        <v>340</v>
      </c>
      <c r="AA45" s="7" t="n">
        <v>3.3</v>
      </c>
    </row>
    <row r="46" customFormat="false" ht="26.25" hidden="false" customHeight="true" outlineLevel="0" collapsed="false">
      <c r="A46" s="4" t="s">
        <v>73</v>
      </c>
      <c r="B46" s="4" t="s">
        <v>28</v>
      </c>
      <c r="C46" s="5" t="n">
        <v>1.6</v>
      </c>
      <c r="D46" s="5"/>
      <c r="E46" s="4" t="s">
        <v>29</v>
      </c>
      <c r="F46" s="6" t="s">
        <v>28</v>
      </c>
      <c r="G46" s="5" t="n">
        <v>32</v>
      </c>
      <c r="H46" s="5" t="n">
        <v>0.3</v>
      </c>
      <c r="I46" s="5" t="n">
        <v>1.6</v>
      </c>
      <c r="J46" s="5" t="n">
        <v>6</v>
      </c>
      <c r="K46" s="5" t="n">
        <v>50</v>
      </c>
      <c r="L46" s="5" t="n">
        <v>10</v>
      </c>
      <c r="M46" s="5" t="n">
        <v>0</v>
      </c>
      <c r="N46" s="5" t="n">
        <v>0.8</v>
      </c>
      <c r="O46" s="5" t="n">
        <v>10</v>
      </c>
      <c r="P46" s="5" t="n">
        <v>0.06</v>
      </c>
      <c r="Q46" s="5" t="n">
        <v>0.03</v>
      </c>
      <c r="R46" s="5" t="n">
        <v>1</v>
      </c>
      <c r="S46" s="5" t="n">
        <v>0.11</v>
      </c>
      <c r="T46" s="5" t="n">
        <v>15</v>
      </c>
      <c r="U46" s="5" t="n">
        <v>0</v>
      </c>
      <c r="V46" s="5" t="n">
        <v>15</v>
      </c>
      <c r="W46" s="5" t="n">
        <v>0.8</v>
      </c>
      <c r="X46" s="5" t="n">
        <v>15</v>
      </c>
      <c r="Y46" s="5" t="n">
        <v>0.3</v>
      </c>
      <c r="Z46" s="5" t="n">
        <v>340</v>
      </c>
      <c r="AA46" s="7" t="n">
        <v>3.3</v>
      </c>
    </row>
    <row r="47" customFormat="false" ht="26.25" hidden="false" customHeight="true" outlineLevel="0" collapsed="false">
      <c r="A47" s="4" t="s">
        <v>74</v>
      </c>
      <c r="B47" s="4" t="s">
        <v>28</v>
      </c>
      <c r="C47" s="5" t="n">
        <v>4.3</v>
      </c>
      <c r="D47" s="5"/>
      <c r="E47" s="4" t="s">
        <v>29</v>
      </c>
      <c r="F47" s="6" t="s">
        <v>28</v>
      </c>
      <c r="G47" s="5" t="n">
        <v>82</v>
      </c>
      <c r="H47" s="5" t="n">
        <v>0.5</v>
      </c>
      <c r="I47" s="5" t="n">
        <v>4.3</v>
      </c>
      <c r="J47" s="5" t="n">
        <v>15</v>
      </c>
      <c r="K47" s="5" t="n">
        <v>640</v>
      </c>
      <c r="L47" s="5" t="n">
        <v>22</v>
      </c>
      <c r="M47" s="5" t="n">
        <v>0</v>
      </c>
      <c r="N47" s="5" t="n">
        <v>2</v>
      </c>
      <c r="O47" s="5" t="n">
        <v>20</v>
      </c>
      <c r="P47" s="5" t="n">
        <v>0.1</v>
      </c>
      <c r="Q47" s="5" t="n">
        <v>0.1</v>
      </c>
      <c r="R47" s="5" t="n">
        <v>2</v>
      </c>
      <c r="S47" s="5" t="n">
        <v>0.3</v>
      </c>
      <c r="T47" s="5" t="n">
        <v>30</v>
      </c>
      <c r="U47" s="5" t="n">
        <v>0</v>
      </c>
      <c r="V47" s="5" t="n">
        <v>36</v>
      </c>
      <c r="W47" s="5" t="n">
        <v>2</v>
      </c>
      <c r="X47" s="5" t="n">
        <v>40</v>
      </c>
      <c r="Y47" s="5" t="n">
        <v>0.5</v>
      </c>
      <c r="Z47" s="5" t="n">
        <v>900</v>
      </c>
      <c r="AA47" s="7" t="n">
        <v>8.2</v>
      </c>
    </row>
    <row r="48" customFormat="false" ht="26.25" hidden="false" customHeight="true" outlineLevel="0" collapsed="false">
      <c r="A48" s="4" t="s">
        <v>75</v>
      </c>
      <c r="B48" s="4" t="s">
        <v>28</v>
      </c>
      <c r="C48" s="5" t="n">
        <v>0.9</v>
      </c>
      <c r="D48" s="5"/>
      <c r="E48" s="4" t="s">
        <v>29</v>
      </c>
      <c r="F48" s="6" t="s">
        <v>28</v>
      </c>
      <c r="G48" s="5" t="n">
        <v>50</v>
      </c>
      <c r="H48" s="5" t="n">
        <v>0.1</v>
      </c>
      <c r="I48" s="5" t="n">
        <v>0.5</v>
      </c>
      <c r="J48" s="5" t="n">
        <v>13</v>
      </c>
      <c r="K48" s="5" t="n">
        <v>1</v>
      </c>
      <c r="L48" s="5" t="n">
        <v>48</v>
      </c>
      <c r="M48" s="5" t="n">
        <v>0</v>
      </c>
      <c r="N48" s="5" t="n">
        <v>0.02</v>
      </c>
      <c r="O48" s="5" t="n">
        <v>0.7</v>
      </c>
      <c r="P48" s="5" t="n">
        <v>0.08</v>
      </c>
      <c r="Q48" s="5" t="n">
        <v>0.03</v>
      </c>
      <c r="R48" s="5" t="n">
        <v>0.3</v>
      </c>
      <c r="S48" s="5" t="n">
        <v>0.09</v>
      </c>
      <c r="T48" s="5" t="n">
        <v>18</v>
      </c>
      <c r="U48" s="5" t="n">
        <v>0</v>
      </c>
      <c r="V48" s="5" t="n">
        <v>13</v>
      </c>
      <c r="W48" s="5" t="n">
        <v>0.3</v>
      </c>
      <c r="X48" s="5" t="n">
        <v>12</v>
      </c>
      <c r="Y48" s="5" t="n">
        <v>0.1</v>
      </c>
      <c r="Z48" s="5" t="n">
        <v>110</v>
      </c>
      <c r="AA48" s="7" t="n">
        <v>9.8</v>
      </c>
    </row>
    <row r="49" customFormat="false" ht="26.25" hidden="false" customHeight="true" outlineLevel="0" collapsed="false">
      <c r="A49" s="4" t="s">
        <v>76</v>
      </c>
      <c r="B49" s="4" t="s">
        <v>28</v>
      </c>
      <c r="C49" s="5" t="n">
        <v>1.8</v>
      </c>
      <c r="D49" s="5"/>
      <c r="E49" s="4" t="s">
        <v>29</v>
      </c>
      <c r="F49" s="6" t="s">
        <v>28</v>
      </c>
      <c r="G49" s="5" t="n">
        <v>60</v>
      </c>
      <c r="H49" s="5" t="n">
        <v>0.1</v>
      </c>
      <c r="I49" s="5" t="n">
        <v>0.4</v>
      </c>
      <c r="J49" s="5" t="n">
        <v>15</v>
      </c>
      <c r="K49" s="5" t="n">
        <v>0</v>
      </c>
      <c r="L49" s="5" t="n">
        <v>10</v>
      </c>
      <c r="M49" s="5" t="n">
        <v>0</v>
      </c>
      <c r="N49" s="5" t="n">
        <v>0.02</v>
      </c>
      <c r="O49" s="5" t="n">
        <v>0.5</v>
      </c>
      <c r="P49" s="5" t="n">
        <v>0.05</v>
      </c>
      <c r="Q49" s="5" t="n">
        <v>0.02</v>
      </c>
      <c r="R49" s="5" t="n">
        <v>0.2</v>
      </c>
      <c r="S49" s="5" t="n">
        <v>0.05</v>
      </c>
      <c r="T49" s="5" t="n">
        <v>8</v>
      </c>
      <c r="U49" s="5" t="n">
        <v>0</v>
      </c>
      <c r="V49" s="5" t="n">
        <v>10</v>
      </c>
      <c r="W49" s="5" t="n">
        <v>0.3</v>
      </c>
      <c r="X49" s="5" t="n">
        <v>10</v>
      </c>
      <c r="Y49" s="5" t="n">
        <v>0.1</v>
      </c>
      <c r="Z49" s="5" t="n">
        <v>90</v>
      </c>
      <c r="AA49" s="7" t="n">
        <v>11.2</v>
      </c>
    </row>
    <row r="50" customFormat="false" ht="26.25" hidden="false" customHeight="true" outlineLevel="0" collapsed="false">
      <c r="A50" s="4" t="s">
        <v>77</v>
      </c>
      <c r="B50" s="4" t="s">
        <v>28</v>
      </c>
      <c r="C50" s="5" t="n">
        <v>15.1</v>
      </c>
      <c r="D50" s="5"/>
      <c r="E50" s="4" t="s">
        <v>29</v>
      </c>
      <c r="F50" s="6" t="s">
        <v>28</v>
      </c>
      <c r="G50" s="5" t="n">
        <v>50</v>
      </c>
      <c r="H50" s="5" t="n">
        <v>0.1</v>
      </c>
      <c r="I50" s="5" t="n">
        <v>0.5</v>
      </c>
      <c r="J50" s="5" t="n">
        <v>13</v>
      </c>
      <c r="K50" s="5" t="n">
        <v>1</v>
      </c>
      <c r="L50" s="5" t="n">
        <v>48</v>
      </c>
      <c r="M50" s="5" t="n">
        <v>0</v>
      </c>
      <c r="N50" s="5" t="n">
        <v>0.02</v>
      </c>
      <c r="O50" s="5" t="n">
        <v>0.7</v>
      </c>
      <c r="P50" s="5" t="n">
        <v>0.08</v>
      </c>
      <c r="Q50" s="5" t="n">
        <v>0.03</v>
      </c>
      <c r="R50" s="5" t="n">
        <v>0.3</v>
      </c>
      <c r="S50" s="5" t="n">
        <v>0.09</v>
      </c>
      <c r="T50" s="5" t="n">
        <v>18</v>
      </c>
      <c r="U50" s="5" t="n">
        <v>0</v>
      </c>
      <c r="V50" s="5" t="n">
        <v>13</v>
      </c>
      <c r="W50" s="5" t="n">
        <v>0.3</v>
      </c>
      <c r="X50" s="5" t="n">
        <v>12</v>
      </c>
      <c r="Y50" s="5" t="n">
        <v>0.1</v>
      </c>
      <c r="Z50" s="5" t="n">
        <v>110</v>
      </c>
      <c r="AA50" s="7" t="n">
        <v>9.8</v>
      </c>
    </row>
    <row r="51" customFormat="false" ht="26.25" hidden="false" customHeight="true" outlineLevel="0" collapsed="false">
      <c r="A51" s="4" t="s">
        <v>78</v>
      </c>
      <c r="B51" s="4" t="s">
        <v>28</v>
      </c>
      <c r="C51" s="5" t="n">
        <v>0.3</v>
      </c>
      <c r="D51" s="5"/>
      <c r="E51" s="4" t="s">
        <v>29</v>
      </c>
      <c r="F51" s="6" t="s">
        <v>28</v>
      </c>
      <c r="G51" s="5" t="n">
        <v>52</v>
      </c>
      <c r="H51" s="5" t="n">
        <v>0.2</v>
      </c>
      <c r="I51" s="5" t="n">
        <v>0.3</v>
      </c>
      <c r="J51" s="5" t="n">
        <v>14</v>
      </c>
      <c r="K51" s="5" t="n">
        <v>3</v>
      </c>
      <c r="L51" s="5" t="n">
        <v>5</v>
      </c>
      <c r="M51" s="5" t="n">
        <v>0</v>
      </c>
      <c r="N51" s="5" t="n">
        <v>0.2</v>
      </c>
      <c r="O51" s="5" t="n">
        <v>2.2</v>
      </c>
      <c r="P51" s="5" t="n">
        <v>0.02</v>
      </c>
      <c r="Q51" s="5" t="n">
        <v>0.02</v>
      </c>
      <c r="R51" s="5" t="n">
        <v>0.1</v>
      </c>
      <c r="S51" s="5" t="n">
        <v>0.04</v>
      </c>
      <c r="T51" s="5" t="n">
        <v>3</v>
      </c>
      <c r="U51" s="5" t="n">
        <v>0</v>
      </c>
      <c r="V51" s="5" t="n">
        <v>6</v>
      </c>
      <c r="W51" s="5" t="n">
        <v>0.1</v>
      </c>
      <c r="X51" s="5" t="n">
        <v>5</v>
      </c>
      <c r="Y51" s="5" t="n">
        <v>0.04</v>
      </c>
      <c r="Z51" s="5" t="n">
        <v>110</v>
      </c>
      <c r="AA51" s="7" t="n">
        <v>11.2</v>
      </c>
    </row>
    <row r="52" customFormat="false" ht="26.25" hidden="false" customHeight="true" outlineLevel="0" collapsed="false">
      <c r="A52" s="4" t="s">
        <v>79</v>
      </c>
      <c r="B52" s="4" t="s">
        <v>28</v>
      </c>
      <c r="C52" s="5" t="n">
        <v>0.2</v>
      </c>
      <c r="D52" s="5"/>
      <c r="E52" s="4" t="s">
        <v>29</v>
      </c>
      <c r="F52" s="6" t="s">
        <v>28</v>
      </c>
      <c r="G52" s="5" t="n">
        <v>52</v>
      </c>
      <c r="H52" s="5" t="n">
        <v>0.2</v>
      </c>
      <c r="I52" s="5" t="n">
        <v>0.3</v>
      </c>
      <c r="J52" s="5" t="n">
        <v>14</v>
      </c>
      <c r="K52" s="5" t="n">
        <v>3</v>
      </c>
      <c r="L52" s="5" t="n">
        <v>5</v>
      </c>
      <c r="M52" s="5" t="n">
        <v>0</v>
      </c>
      <c r="N52" s="5" t="n">
        <v>0.2</v>
      </c>
      <c r="O52" s="5" t="n">
        <v>2.2</v>
      </c>
      <c r="P52" s="5" t="n">
        <v>0.02</v>
      </c>
      <c r="Q52" s="5" t="n">
        <v>0.02</v>
      </c>
      <c r="R52" s="5" t="n">
        <v>0.1</v>
      </c>
      <c r="S52" s="5" t="n">
        <v>0.04</v>
      </c>
      <c r="T52" s="5" t="n">
        <v>3</v>
      </c>
      <c r="U52" s="5" t="n">
        <v>0</v>
      </c>
      <c r="V52" s="5" t="n">
        <v>6</v>
      </c>
      <c r="W52" s="5" t="n">
        <v>0.1</v>
      </c>
      <c r="X52" s="5" t="n">
        <v>5</v>
      </c>
      <c r="Y52" s="5" t="n">
        <v>0.04</v>
      </c>
      <c r="Z52" s="5" t="n">
        <v>110</v>
      </c>
      <c r="AA52" s="7" t="n">
        <v>11.2</v>
      </c>
    </row>
    <row r="53" customFormat="false" ht="26.25" hidden="false" customHeight="true" outlineLevel="0" collapsed="false">
      <c r="A53" s="4" t="s">
        <v>80</v>
      </c>
      <c r="B53" s="4" t="s">
        <v>28</v>
      </c>
      <c r="C53" s="5" t="n">
        <v>0.6</v>
      </c>
      <c r="D53" s="5"/>
      <c r="E53" s="4" t="s">
        <v>29</v>
      </c>
      <c r="F53" s="6" t="s">
        <v>28</v>
      </c>
      <c r="G53" s="5" t="n">
        <v>160</v>
      </c>
      <c r="H53" s="5" t="n">
        <v>15</v>
      </c>
      <c r="I53" s="5" t="n">
        <v>2</v>
      </c>
      <c r="J53" s="5" t="n">
        <v>9</v>
      </c>
      <c r="K53" s="5" t="n">
        <v>7</v>
      </c>
      <c r="L53" s="5" t="n">
        <v>10</v>
      </c>
      <c r="M53" s="5" t="n">
        <v>0</v>
      </c>
      <c r="N53" s="5" t="n">
        <v>2.1</v>
      </c>
      <c r="O53" s="5" t="n">
        <v>21</v>
      </c>
      <c r="P53" s="5" t="n">
        <v>0.07</v>
      </c>
      <c r="Q53" s="5" t="n">
        <v>0.13</v>
      </c>
      <c r="R53" s="5" t="n">
        <v>1.7</v>
      </c>
      <c r="S53" s="5" t="n">
        <v>0.26</v>
      </c>
      <c r="T53" s="5" t="n">
        <v>81</v>
      </c>
      <c r="U53" s="5" t="n">
        <v>0</v>
      </c>
      <c r="V53" s="5" t="n">
        <v>12</v>
      </c>
      <c r="W53" s="5" t="n">
        <v>0.6</v>
      </c>
      <c r="X53" s="5" t="n">
        <v>29</v>
      </c>
      <c r="Y53" s="5" t="n">
        <v>0.6</v>
      </c>
      <c r="Z53" s="5" t="n">
        <v>485</v>
      </c>
      <c r="AA53" s="7" t="n">
        <v>0.9</v>
      </c>
    </row>
    <row r="54" customFormat="false" ht="26.25" hidden="false" customHeight="true" outlineLevel="0" collapsed="false">
      <c r="A54" s="4" t="s">
        <v>81</v>
      </c>
      <c r="B54" s="4" t="s">
        <v>28</v>
      </c>
      <c r="C54" s="5" t="n">
        <v>0.8</v>
      </c>
      <c r="D54" s="5"/>
      <c r="E54" s="4" t="s">
        <v>29</v>
      </c>
      <c r="F54" s="6" t="s">
        <v>28</v>
      </c>
      <c r="G54" s="5" t="n">
        <v>160</v>
      </c>
      <c r="H54" s="5" t="n">
        <v>15</v>
      </c>
      <c r="I54" s="5" t="n">
        <v>2</v>
      </c>
      <c r="J54" s="5" t="n">
        <v>9</v>
      </c>
      <c r="K54" s="5" t="n">
        <v>7</v>
      </c>
      <c r="L54" s="5" t="n">
        <v>10</v>
      </c>
      <c r="M54" s="5" t="n">
        <v>0</v>
      </c>
      <c r="N54" s="5" t="n">
        <v>2.1</v>
      </c>
      <c r="O54" s="5" t="n">
        <v>21</v>
      </c>
      <c r="P54" s="5" t="n">
        <v>0.07</v>
      </c>
      <c r="Q54" s="5" t="n">
        <v>0.13</v>
      </c>
      <c r="R54" s="5" t="n">
        <v>1.7</v>
      </c>
      <c r="S54" s="5" t="n">
        <v>0.26</v>
      </c>
      <c r="T54" s="5" t="n">
        <v>81</v>
      </c>
      <c r="U54" s="5" t="n">
        <v>0</v>
      </c>
      <c r="V54" s="5" t="n">
        <v>12</v>
      </c>
      <c r="W54" s="5" t="n">
        <v>0.6</v>
      </c>
      <c r="X54" s="5" t="n">
        <v>29</v>
      </c>
      <c r="Y54" s="5" t="n">
        <v>0.6</v>
      </c>
      <c r="Z54" s="5" t="n">
        <v>485</v>
      </c>
      <c r="AA54" s="7" t="n">
        <v>0.9</v>
      </c>
    </row>
    <row r="55" customFormat="false" ht="26.25" hidden="false" customHeight="true" outlineLevel="0" collapsed="false">
      <c r="A55" s="4" t="s">
        <v>82</v>
      </c>
      <c r="B55" s="4" t="s">
        <v>28</v>
      </c>
      <c r="C55" s="5" t="n">
        <v>0.6</v>
      </c>
      <c r="D55" s="5"/>
      <c r="E55" s="4" t="s">
        <v>29</v>
      </c>
      <c r="F55" s="6" t="s">
        <v>28</v>
      </c>
      <c r="G55" s="5" t="n">
        <v>89</v>
      </c>
      <c r="H55" s="5" t="n">
        <v>0.3</v>
      </c>
      <c r="I55" s="5" t="n">
        <v>1.1</v>
      </c>
      <c r="J55" s="5" t="n">
        <v>23</v>
      </c>
      <c r="K55" s="5" t="n">
        <v>3</v>
      </c>
      <c r="L55" s="5" t="n">
        <v>9</v>
      </c>
      <c r="M55" s="5" t="n">
        <v>0</v>
      </c>
      <c r="N55" s="5" t="n">
        <v>0.1</v>
      </c>
      <c r="O55" s="5" t="n">
        <v>0.5</v>
      </c>
      <c r="P55" s="5" t="n">
        <v>0.03</v>
      </c>
      <c r="Q55" s="5" t="n">
        <v>0.07</v>
      </c>
      <c r="R55" s="5" t="n">
        <v>0.7</v>
      </c>
      <c r="S55" s="5" t="n">
        <v>0.4</v>
      </c>
      <c r="T55" s="5" t="n">
        <v>20</v>
      </c>
      <c r="U55" s="5" t="n">
        <v>0</v>
      </c>
      <c r="V55" s="5" t="n">
        <v>5</v>
      </c>
      <c r="W55" s="5" t="n">
        <v>0.3</v>
      </c>
      <c r="X55" s="5" t="n">
        <v>27</v>
      </c>
      <c r="Y55" s="5" t="n">
        <v>0.15</v>
      </c>
      <c r="Z55" s="5" t="n">
        <v>360</v>
      </c>
      <c r="AA55" s="7" t="n">
        <v>16.1</v>
      </c>
    </row>
    <row r="56" customFormat="false" ht="26.25" hidden="false" customHeight="true" outlineLevel="0" collapsed="false">
      <c r="A56" s="4" t="s">
        <v>83</v>
      </c>
      <c r="B56" s="4" t="s">
        <v>28</v>
      </c>
      <c r="C56" s="5" t="n">
        <v>0.3</v>
      </c>
      <c r="D56" s="5"/>
      <c r="E56" s="4" t="s">
        <v>29</v>
      </c>
      <c r="F56" s="6" t="s">
        <v>28</v>
      </c>
      <c r="G56" s="5" t="n">
        <v>57</v>
      </c>
      <c r="H56" s="5" t="n">
        <v>0.1</v>
      </c>
      <c r="I56" s="5" t="n">
        <v>0.4</v>
      </c>
      <c r="J56" s="5" t="n">
        <v>15</v>
      </c>
      <c r="K56" s="5" t="n">
        <v>1</v>
      </c>
      <c r="L56" s="5" t="n">
        <v>4.3</v>
      </c>
      <c r="M56" s="5" t="n">
        <v>0</v>
      </c>
      <c r="N56" s="5" t="n">
        <v>0.1</v>
      </c>
      <c r="O56" s="5" t="n">
        <v>4.5</v>
      </c>
      <c r="P56" s="5" t="n">
        <v>0.01</v>
      </c>
      <c r="Q56" s="5" t="n">
        <v>0.03</v>
      </c>
      <c r="R56" s="5" t="n">
        <v>0.2</v>
      </c>
      <c r="S56" s="5" t="n">
        <v>0.03</v>
      </c>
      <c r="T56" s="5" t="n">
        <v>7</v>
      </c>
      <c r="U56" s="5" t="n">
        <v>0</v>
      </c>
      <c r="V56" s="5" t="n">
        <v>9</v>
      </c>
      <c r="W56" s="5" t="n">
        <v>0.2</v>
      </c>
      <c r="X56" s="5" t="n">
        <v>7</v>
      </c>
      <c r="Y56" s="5" t="n">
        <v>0.1</v>
      </c>
      <c r="Z56" s="5" t="n">
        <v>120</v>
      </c>
      <c r="AA56" s="7" t="n">
        <v>11.2</v>
      </c>
    </row>
    <row r="57" customFormat="false" ht="26.25" hidden="false" customHeight="true" outlineLevel="0" collapsed="false">
      <c r="A57" s="4" t="s">
        <v>84</v>
      </c>
      <c r="B57" s="4" t="s">
        <v>28</v>
      </c>
      <c r="C57" s="5" t="n">
        <v>0.3</v>
      </c>
      <c r="D57" s="5"/>
      <c r="E57" s="4" t="s">
        <v>29</v>
      </c>
      <c r="F57" s="6" t="s">
        <v>28</v>
      </c>
      <c r="G57" s="5" t="n">
        <v>32</v>
      </c>
      <c r="H57" s="5" t="n">
        <v>0.3</v>
      </c>
      <c r="I57" s="5" t="n">
        <v>0.7</v>
      </c>
      <c r="J57" s="5" t="n">
        <v>8</v>
      </c>
      <c r="K57" s="5" t="n">
        <v>1</v>
      </c>
      <c r="L57" s="5" t="n">
        <v>59</v>
      </c>
      <c r="M57" s="5" t="n">
        <v>0</v>
      </c>
      <c r="N57" s="5" t="n">
        <v>0.3</v>
      </c>
      <c r="O57" s="5" t="n">
        <v>2.2</v>
      </c>
      <c r="P57" s="5" t="n">
        <v>0.02</v>
      </c>
      <c r="Q57" s="5" t="n">
        <v>0.02</v>
      </c>
      <c r="R57" s="5" t="n">
        <v>0.4</v>
      </c>
      <c r="S57" s="5" t="n">
        <v>0.05</v>
      </c>
      <c r="T57" s="5" t="n">
        <v>24</v>
      </c>
      <c r="U57" s="5" t="n">
        <v>0</v>
      </c>
      <c r="V57" s="5" t="n">
        <v>16</v>
      </c>
      <c r="W57" s="5" t="n">
        <v>0.4</v>
      </c>
      <c r="X57" s="5" t="n">
        <v>13</v>
      </c>
      <c r="Y57" s="5" t="n">
        <v>0.1</v>
      </c>
      <c r="Z57" s="5" t="n">
        <v>150</v>
      </c>
      <c r="AA57" s="7" t="n">
        <v>5.2</v>
      </c>
    </row>
    <row r="58" customFormat="false" ht="26.25" hidden="false" customHeight="true" outlineLevel="0" collapsed="false">
      <c r="A58" s="4" t="s">
        <v>85</v>
      </c>
      <c r="B58" s="4" t="s">
        <v>28</v>
      </c>
      <c r="C58" s="5" t="n">
        <v>3.4</v>
      </c>
      <c r="D58" s="5"/>
      <c r="E58" s="4" t="s">
        <v>29</v>
      </c>
      <c r="F58" s="6" t="s">
        <v>28</v>
      </c>
      <c r="G58" s="5" t="n">
        <v>32</v>
      </c>
      <c r="H58" s="5" t="n">
        <v>0.3</v>
      </c>
      <c r="I58" s="5" t="n">
        <v>0.7</v>
      </c>
      <c r="J58" s="5" t="n">
        <v>8</v>
      </c>
      <c r="K58" s="5" t="n">
        <v>1</v>
      </c>
      <c r="L58" s="5" t="n">
        <v>50</v>
      </c>
      <c r="M58" s="5" t="n">
        <v>0</v>
      </c>
      <c r="N58" s="5" t="n">
        <v>0.3</v>
      </c>
      <c r="O58" s="5" t="n">
        <v>2.2</v>
      </c>
      <c r="P58" s="5" t="n">
        <v>0.02</v>
      </c>
      <c r="Q58" s="5" t="n">
        <v>0.02</v>
      </c>
      <c r="R58" s="5" t="n">
        <v>0.4</v>
      </c>
      <c r="S58" s="5" t="n">
        <v>0.05</v>
      </c>
      <c r="T58" s="5" t="n">
        <v>20</v>
      </c>
      <c r="U58" s="5" t="n">
        <v>0</v>
      </c>
      <c r="V58" s="5" t="n">
        <v>16</v>
      </c>
      <c r="W58" s="5" t="n">
        <v>0.4</v>
      </c>
      <c r="X58" s="5" t="n">
        <v>13</v>
      </c>
      <c r="Y58" s="5" t="n">
        <v>0.1</v>
      </c>
      <c r="Z58" s="5" t="n">
        <v>150</v>
      </c>
      <c r="AA58" s="7" t="n">
        <v>5.2</v>
      </c>
    </row>
    <row r="59" customFormat="false" ht="26.25" hidden="false" customHeight="true" outlineLevel="0" collapsed="false">
      <c r="A59" s="4" t="s">
        <v>86</v>
      </c>
      <c r="B59" s="4" t="s">
        <v>28</v>
      </c>
      <c r="C59" s="5" t="n">
        <v>0.4</v>
      </c>
      <c r="D59" s="5"/>
      <c r="E59" s="4" t="s">
        <v>29</v>
      </c>
      <c r="F59" s="6" t="s">
        <v>28</v>
      </c>
      <c r="G59" s="5" t="n">
        <v>32</v>
      </c>
      <c r="H59" s="5" t="n">
        <v>0.3</v>
      </c>
      <c r="I59" s="5" t="n">
        <v>0.7</v>
      </c>
      <c r="J59" s="5" t="n">
        <v>8</v>
      </c>
      <c r="K59" s="5" t="n">
        <v>1</v>
      </c>
      <c r="L59" s="5" t="n">
        <v>52</v>
      </c>
      <c r="M59" s="5" t="n">
        <v>0</v>
      </c>
      <c r="N59" s="5" t="n">
        <v>0.3</v>
      </c>
      <c r="O59" s="5" t="n">
        <v>2.2</v>
      </c>
      <c r="P59" s="5" t="n">
        <v>0.02</v>
      </c>
      <c r="Q59" s="5" t="n">
        <v>0.02</v>
      </c>
      <c r="R59" s="5" t="n">
        <v>0.4</v>
      </c>
      <c r="S59" s="5" t="n">
        <v>0.05</v>
      </c>
      <c r="T59" s="5" t="n">
        <v>22</v>
      </c>
      <c r="U59" s="5" t="n">
        <v>0</v>
      </c>
      <c r="V59" s="5" t="n">
        <v>16</v>
      </c>
      <c r="W59" s="5" t="n">
        <v>0.4</v>
      </c>
      <c r="X59" s="5" t="n">
        <v>13</v>
      </c>
      <c r="Y59" s="5" t="n">
        <v>0.1</v>
      </c>
      <c r="Z59" s="5" t="n">
        <v>150</v>
      </c>
      <c r="AA59" s="7" t="n">
        <v>5.2</v>
      </c>
    </row>
    <row r="60" customFormat="false" ht="26.25" hidden="false" customHeight="true" outlineLevel="0" collapsed="false">
      <c r="A60" s="4" t="s">
        <v>87</v>
      </c>
      <c r="B60" s="4" t="s">
        <v>28</v>
      </c>
      <c r="C60" s="5" t="n">
        <v>0.7</v>
      </c>
      <c r="D60" s="5"/>
      <c r="E60" s="4" t="s">
        <v>29</v>
      </c>
      <c r="F60" s="6" t="s">
        <v>28</v>
      </c>
      <c r="G60" s="5" t="n">
        <v>30</v>
      </c>
      <c r="H60" s="5" t="n">
        <v>0.3</v>
      </c>
      <c r="I60" s="5" t="n">
        <v>0.6</v>
      </c>
      <c r="J60" s="5" t="n">
        <v>7</v>
      </c>
      <c r="K60" s="5" t="n">
        <v>1</v>
      </c>
      <c r="L60" s="5" t="n">
        <v>40</v>
      </c>
      <c r="M60" s="5" t="n">
        <v>0</v>
      </c>
      <c r="N60" s="5" t="n">
        <v>0.2</v>
      </c>
      <c r="O60" s="5" t="n">
        <v>2</v>
      </c>
      <c r="P60" s="5" t="n">
        <v>0.02</v>
      </c>
      <c r="Q60" s="5" t="n">
        <v>0.02</v>
      </c>
      <c r="R60" s="5" t="n">
        <v>0.3</v>
      </c>
      <c r="S60" s="5" t="n">
        <v>0.04</v>
      </c>
      <c r="T60" s="5" t="n">
        <v>20</v>
      </c>
      <c r="U60" s="5" t="n">
        <v>0</v>
      </c>
      <c r="V60" s="5" t="n">
        <v>14</v>
      </c>
      <c r="W60" s="5" t="n">
        <v>0.4</v>
      </c>
      <c r="X60" s="5" t="n">
        <v>12</v>
      </c>
      <c r="Y60" s="5" t="n">
        <v>0.1</v>
      </c>
      <c r="Z60" s="5" t="n">
        <v>140</v>
      </c>
      <c r="AA60" s="7" t="n">
        <v>4.5</v>
      </c>
    </row>
    <row r="61" customFormat="false" ht="26.25" hidden="false" customHeight="true" outlineLevel="0" collapsed="false">
      <c r="A61" s="4" t="s">
        <v>88</v>
      </c>
      <c r="B61" s="4" t="s">
        <v>28</v>
      </c>
      <c r="C61" s="5" t="n">
        <v>0.3</v>
      </c>
      <c r="D61" s="5"/>
      <c r="E61" s="4" t="s">
        <v>29</v>
      </c>
      <c r="F61" s="6" t="s">
        <v>28</v>
      </c>
      <c r="G61" s="5" t="n">
        <v>47</v>
      </c>
      <c r="H61" s="5" t="n">
        <v>0.1</v>
      </c>
      <c r="I61" s="5" t="n">
        <v>0.9</v>
      </c>
      <c r="J61" s="5" t="n">
        <v>12</v>
      </c>
      <c r="K61" s="5" t="n">
        <v>11</v>
      </c>
      <c r="L61" s="5" t="n">
        <v>53</v>
      </c>
      <c r="M61" s="5" t="n">
        <v>0</v>
      </c>
      <c r="N61" s="5" t="n">
        <v>0.2</v>
      </c>
      <c r="O61" s="5" t="n">
        <v>0</v>
      </c>
      <c r="P61" s="5" t="n">
        <v>0.09</v>
      </c>
      <c r="Q61" s="5" t="n">
        <v>0.04</v>
      </c>
      <c r="R61" s="5" t="n">
        <v>0.3</v>
      </c>
      <c r="S61" s="5" t="n">
        <v>0.06</v>
      </c>
      <c r="T61" s="5" t="n">
        <v>30</v>
      </c>
      <c r="U61" s="5" t="n">
        <v>0</v>
      </c>
      <c r="V61" s="5" t="n">
        <v>40</v>
      </c>
      <c r="W61" s="5" t="n">
        <v>0.1</v>
      </c>
      <c r="X61" s="5" t="n">
        <v>10</v>
      </c>
      <c r="Y61" s="5" t="n">
        <v>0.07</v>
      </c>
      <c r="Z61" s="5" t="n">
        <v>180</v>
      </c>
      <c r="AA61" s="7" t="n">
        <v>9.6</v>
      </c>
    </row>
    <row r="62" customFormat="false" ht="26.25" hidden="false" customHeight="true" outlineLevel="0" collapsed="false">
      <c r="A62" s="4" t="s">
        <v>89</v>
      </c>
      <c r="B62" s="4" t="s">
        <v>28</v>
      </c>
      <c r="C62" s="5" t="n">
        <v>0.2</v>
      </c>
      <c r="D62" s="5"/>
      <c r="E62" s="4" t="s">
        <v>29</v>
      </c>
      <c r="F62" s="6" t="s">
        <v>28</v>
      </c>
      <c r="G62" s="5" t="n">
        <v>39</v>
      </c>
      <c r="H62" s="5" t="n">
        <v>0.3</v>
      </c>
      <c r="I62" s="5" t="n">
        <v>0.9</v>
      </c>
      <c r="J62" s="5" t="n">
        <v>10</v>
      </c>
      <c r="K62" s="5" t="n">
        <v>16</v>
      </c>
      <c r="L62" s="5" t="n">
        <v>6.6</v>
      </c>
      <c r="M62" s="5" t="n">
        <v>0</v>
      </c>
      <c r="N62" s="5" t="n">
        <v>0.7</v>
      </c>
      <c r="O62" s="5" t="n">
        <v>2.6</v>
      </c>
      <c r="P62" s="5" t="n">
        <v>0.02</v>
      </c>
      <c r="Q62" s="5" t="n">
        <v>0.03</v>
      </c>
      <c r="R62" s="5" t="n">
        <v>0.8</v>
      </c>
      <c r="S62" s="5" t="n">
        <v>0.02</v>
      </c>
      <c r="T62" s="5" t="n">
        <v>4</v>
      </c>
      <c r="U62" s="5" t="n">
        <v>0</v>
      </c>
      <c r="V62" s="5" t="n">
        <v>6</v>
      </c>
      <c r="W62" s="5" t="n">
        <v>0.3</v>
      </c>
      <c r="X62" s="5" t="n">
        <v>9</v>
      </c>
      <c r="Y62" s="5" t="n">
        <v>0.2</v>
      </c>
      <c r="Z62" s="5" t="n">
        <v>190</v>
      </c>
      <c r="AA62" s="7" t="n">
        <v>7.5</v>
      </c>
    </row>
    <row r="63" customFormat="false" ht="26.25" hidden="false" customHeight="true" outlineLevel="0" collapsed="false">
      <c r="A63" s="4" t="s">
        <v>90</v>
      </c>
      <c r="B63" s="4" t="s">
        <v>28</v>
      </c>
      <c r="C63" s="5" t="n">
        <v>1.6</v>
      </c>
      <c r="D63" s="5"/>
      <c r="E63" s="4" t="s">
        <v>29</v>
      </c>
      <c r="F63" s="6" t="s">
        <v>28</v>
      </c>
      <c r="G63" s="5" t="n">
        <v>55</v>
      </c>
      <c r="H63" s="5" t="n">
        <v>0.1</v>
      </c>
      <c r="I63" s="5" t="n">
        <v>0.5</v>
      </c>
      <c r="J63" s="5" t="n">
        <v>14</v>
      </c>
      <c r="K63" s="5" t="n">
        <v>15</v>
      </c>
      <c r="L63" s="5" t="n">
        <v>3</v>
      </c>
      <c r="M63" s="5" t="n">
        <v>0</v>
      </c>
      <c r="N63" s="5" t="n">
        <v>0.5</v>
      </c>
      <c r="O63" s="5" t="n">
        <v>2</v>
      </c>
      <c r="P63" s="5" t="n">
        <v>0.01</v>
      </c>
      <c r="Q63" s="5" t="n">
        <v>0.02</v>
      </c>
      <c r="R63" s="5" t="n">
        <v>0.5</v>
      </c>
      <c r="S63" s="5" t="n">
        <v>0.01</v>
      </c>
      <c r="T63" s="5" t="n">
        <v>3</v>
      </c>
      <c r="U63" s="5" t="n">
        <v>0</v>
      </c>
      <c r="V63" s="5" t="n">
        <v>4</v>
      </c>
      <c r="W63" s="5" t="n">
        <v>0.2</v>
      </c>
      <c r="X63" s="5" t="n">
        <v>7</v>
      </c>
      <c r="Y63" s="5" t="n">
        <v>0.1</v>
      </c>
      <c r="Z63" s="5" t="n">
        <v>110</v>
      </c>
      <c r="AA63" s="7" t="n">
        <v>10.5</v>
      </c>
    </row>
    <row r="64" customFormat="false" ht="26.25" hidden="false" customHeight="true" outlineLevel="0" collapsed="false">
      <c r="A64" s="4" t="s">
        <v>91</v>
      </c>
      <c r="B64" s="4" t="s">
        <v>28</v>
      </c>
      <c r="C64" s="5" t="n">
        <v>0.4</v>
      </c>
      <c r="D64" s="5"/>
      <c r="E64" s="4" t="s">
        <v>29</v>
      </c>
      <c r="F64" s="6" t="s">
        <v>28</v>
      </c>
      <c r="G64" s="5" t="n">
        <v>69</v>
      </c>
      <c r="H64" s="5" t="n">
        <v>0.2</v>
      </c>
      <c r="I64" s="5" t="n">
        <v>0.7</v>
      </c>
      <c r="J64" s="5" t="n">
        <v>18</v>
      </c>
      <c r="K64" s="5" t="n">
        <v>3</v>
      </c>
      <c r="L64" s="5" t="n">
        <v>4</v>
      </c>
      <c r="M64" s="5" t="n">
        <v>0</v>
      </c>
      <c r="N64" s="5" t="n">
        <v>0.2</v>
      </c>
      <c r="O64" s="5" t="n">
        <v>14.6</v>
      </c>
      <c r="P64" s="5" t="n">
        <v>0.07</v>
      </c>
      <c r="Q64" s="5" t="n">
        <v>0.07</v>
      </c>
      <c r="R64" s="5" t="n">
        <v>0.2</v>
      </c>
      <c r="S64" s="5" t="n">
        <v>0.09</v>
      </c>
      <c r="T64" s="5" t="n">
        <v>2</v>
      </c>
      <c r="U64" s="5" t="n">
        <v>0</v>
      </c>
      <c r="V64" s="5" t="n">
        <v>10</v>
      </c>
      <c r="W64" s="5" t="n">
        <v>0.4</v>
      </c>
      <c r="X64" s="5" t="n">
        <v>7</v>
      </c>
      <c r="Y64" s="5" t="n">
        <v>0.07</v>
      </c>
      <c r="Z64" s="5" t="n">
        <v>190</v>
      </c>
      <c r="AA64" s="7" t="n">
        <v>0.9</v>
      </c>
    </row>
    <row r="65" customFormat="false" ht="26.25" hidden="false" customHeight="true" outlineLevel="0" collapsed="false">
      <c r="A65" s="4" t="s">
        <v>92</v>
      </c>
      <c r="B65" s="4" t="s">
        <v>28</v>
      </c>
      <c r="C65" s="5" t="n">
        <v>0.3</v>
      </c>
      <c r="D65" s="5"/>
      <c r="E65" s="4" t="s">
        <v>29</v>
      </c>
      <c r="F65" s="6" t="s">
        <v>28</v>
      </c>
      <c r="G65" s="5" t="n">
        <v>69</v>
      </c>
      <c r="H65" s="5" t="n">
        <v>0.2</v>
      </c>
      <c r="I65" s="5" t="n">
        <v>0.7</v>
      </c>
      <c r="J65" s="5" t="n">
        <v>18</v>
      </c>
      <c r="K65" s="5" t="n">
        <v>3</v>
      </c>
      <c r="L65" s="5" t="n">
        <v>4</v>
      </c>
      <c r="M65" s="5" t="n">
        <v>0</v>
      </c>
      <c r="N65" s="5" t="n">
        <v>0.2</v>
      </c>
      <c r="O65" s="5" t="n">
        <v>14.6</v>
      </c>
      <c r="P65" s="5" t="n">
        <v>0.07</v>
      </c>
      <c r="Q65" s="5" t="n">
        <v>0.07</v>
      </c>
      <c r="R65" s="5" t="n">
        <v>0.2</v>
      </c>
      <c r="S65" s="5" t="n">
        <v>0.09</v>
      </c>
      <c r="T65" s="5" t="n">
        <v>2</v>
      </c>
      <c r="U65" s="5" t="n">
        <v>0</v>
      </c>
      <c r="V65" s="5" t="n">
        <v>10</v>
      </c>
      <c r="W65" s="5" t="n">
        <v>0.4</v>
      </c>
      <c r="X65" s="5" t="n">
        <v>7</v>
      </c>
      <c r="Y65" s="5" t="n">
        <v>0.07</v>
      </c>
      <c r="Z65" s="5" t="n">
        <v>190</v>
      </c>
      <c r="AA65" s="7" t="n">
        <v>0.9</v>
      </c>
    </row>
    <row r="66" customFormat="false" ht="26.25" hidden="false" customHeight="true" outlineLevel="0" collapsed="false">
      <c r="A66" s="4" t="s">
        <v>93</v>
      </c>
      <c r="B66" s="4" t="s">
        <v>28</v>
      </c>
      <c r="C66" s="5" t="n">
        <v>0.3</v>
      </c>
      <c r="D66" s="5"/>
      <c r="E66" s="4" t="s">
        <v>29</v>
      </c>
      <c r="F66" s="6" t="s">
        <v>28</v>
      </c>
      <c r="G66" s="5" t="n">
        <v>69</v>
      </c>
      <c r="H66" s="5" t="n">
        <v>0.2</v>
      </c>
      <c r="I66" s="5" t="n">
        <v>0.7</v>
      </c>
      <c r="J66" s="5" t="n">
        <v>18</v>
      </c>
      <c r="K66" s="5" t="n">
        <v>3</v>
      </c>
      <c r="L66" s="5" t="n">
        <v>4</v>
      </c>
      <c r="M66" s="5" t="n">
        <v>0</v>
      </c>
      <c r="N66" s="5" t="n">
        <v>0.2</v>
      </c>
      <c r="O66" s="5" t="n">
        <v>14.6</v>
      </c>
      <c r="P66" s="5" t="n">
        <v>0.07</v>
      </c>
      <c r="Q66" s="5" t="n">
        <v>0.07</v>
      </c>
      <c r="R66" s="5" t="n">
        <v>0.2</v>
      </c>
      <c r="S66" s="5" t="n">
        <v>0.09</v>
      </c>
      <c r="T66" s="5" t="n">
        <v>2</v>
      </c>
      <c r="U66" s="5" t="n">
        <v>0</v>
      </c>
      <c r="V66" s="5" t="n">
        <v>10</v>
      </c>
      <c r="W66" s="5" t="n">
        <v>0.4</v>
      </c>
      <c r="X66" s="5" t="n">
        <v>7</v>
      </c>
      <c r="Y66" s="5" t="n">
        <v>0.07</v>
      </c>
      <c r="Z66" s="5" t="n">
        <v>190</v>
      </c>
      <c r="AA66" s="7" t="n">
        <v>0.9</v>
      </c>
    </row>
    <row r="67" customFormat="false" ht="26.25" hidden="false" customHeight="true" outlineLevel="0" collapsed="false">
      <c r="A67" s="4" t="s">
        <v>94</v>
      </c>
      <c r="B67" s="4" t="s">
        <v>28</v>
      </c>
      <c r="C67" s="5" t="n">
        <v>0.7</v>
      </c>
      <c r="D67" s="5"/>
      <c r="E67" s="4" t="s">
        <v>29</v>
      </c>
      <c r="F67" s="6" t="s">
        <v>28</v>
      </c>
      <c r="G67" s="5" t="n">
        <v>338</v>
      </c>
      <c r="H67" s="5" t="n">
        <v>2.5</v>
      </c>
      <c r="I67" s="5" t="n">
        <v>15</v>
      </c>
      <c r="J67" s="5" t="n">
        <v>70</v>
      </c>
      <c r="K67" s="5" t="n">
        <v>0</v>
      </c>
      <c r="L67" s="5" t="n">
        <v>0</v>
      </c>
      <c r="M67" s="5" t="n">
        <v>0</v>
      </c>
      <c r="N67" s="5" t="n">
        <v>0.7</v>
      </c>
      <c r="O67" s="5" t="n">
        <v>0</v>
      </c>
      <c r="P67" s="5" t="n">
        <v>0.4</v>
      </c>
      <c r="Q67" s="5" t="n">
        <v>0.15</v>
      </c>
      <c r="R67" s="5" t="n">
        <v>5</v>
      </c>
      <c r="S67" s="5" t="n">
        <v>0.15</v>
      </c>
      <c r="T67" s="5" t="n">
        <v>40</v>
      </c>
      <c r="U67" s="5" t="n">
        <v>0</v>
      </c>
      <c r="V67" s="5" t="n">
        <v>30</v>
      </c>
      <c r="W67" s="5" t="n">
        <v>3</v>
      </c>
      <c r="X67" s="5" t="n">
        <v>90</v>
      </c>
      <c r="Y67" s="5" t="n">
        <v>2.5</v>
      </c>
      <c r="Z67" s="5" t="n">
        <v>400</v>
      </c>
      <c r="AA67" s="7" t="n">
        <v>0.7</v>
      </c>
    </row>
    <row r="68" customFormat="false" ht="26.25" hidden="false" customHeight="true" outlineLevel="0" collapsed="false">
      <c r="A68" s="4" t="s">
        <v>95</v>
      </c>
      <c r="B68" s="4" t="s">
        <v>28</v>
      </c>
      <c r="C68" s="5" t="n">
        <v>0.7</v>
      </c>
      <c r="D68" s="5"/>
      <c r="E68" s="4" t="s">
        <v>29</v>
      </c>
      <c r="F68" s="6" t="s">
        <v>28</v>
      </c>
      <c r="G68" s="5" t="n">
        <v>350</v>
      </c>
      <c r="H68" s="5" t="n">
        <v>1.5</v>
      </c>
      <c r="I68" s="5" t="n">
        <v>12.5</v>
      </c>
      <c r="J68" s="5" t="n">
        <v>70</v>
      </c>
      <c r="K68" s="5" t="n">
        <v>0</v>
      </c>
      <c r="L68" s="5" t="n">
        <v>0</v>
      </c>
      <c r="M68" s="5" t="n">
        <v>0</v>
      </c>
      <c r="N68" s="5" t="n">
        <v>0.2</v>
      </c>
      <c r="O68" s="5" t="n">
        <v>1</v>
      </c>
      <c r="P68" s="5" t="n">
        <v>0.15</v>
      </c>
      <c r="Q68" s="5" t="n">
        <v>0.06</v>
      </c>
      <c r="R68" s="5" t="n">
        <v>2</v>
      </c>
      <c r="S68" s="5" t="n">
        <v>0.1</v>
      </c>
      <c r="T68" s="5" t="n">
        <v>20</v>
      </c>
      <c r="U68" s="5" t="n">
        <v>0</v>
      </c>
      <c r="V68" s="5" t="n">
        <v>20</v>
      </c>
      <c r="W68" s="5" t="n">
        <v>1.5</v>
      </c>
      <c r="X68" s="5" t="n">
        <v>45</v>
      </c>
      <c r="Y68" s="5" t="n">
        <v>1.3</v>
      </c>
      <c r="Z68" s="5" t="n">
        <v>190</v>
      </c>
      <c r="AA68" s="7" t="n">
        <v>1.4</v>
      </c>
    </row>
    <row r="69" customFormat="false" ht="26.25" hidden="false" customHeight="true" outlineLevel="0" collapsed="false">
      <c r="A69" s="4" t="s">
        <v>96</v>
      </c>
      <c r="B69" s="4" t="s">
        <v>28</v>
      </c>
      <c r="C69" s="5" t="n">
        <v>0.8</v>
      </c>
      <c r="D69" s="5"/>
      <c r="E69" s="4" t="s">
        <v>29</v>
      </c>
      <c r="F69" s="6" t="s">
        <v>28</v>
      </c>
      <c r="G69" s="5" t="n">
        <v>350</v>
      </c>
      <c r="H69" s="5" t="n">
        <v>1.5</v>
      </c>
      <c r="I69" s="5" t="n">
        <v>12.5</v>
      </c>
      <c r="J69" s="5" t="n">
        <v>70</v>
      </c>
      <c r="K69" s="5" t="n">
        <v>0</v>
      </c>
      <c r="L69" s="5" t="n">
        <v>0</v>
      </c>
      <c r="M69" s="5" t="n">
        <v>0</v>
      </c>
      <c r="N69" s="5" t="n">
        <v>0.2</v>
      </c>
      <c r="O69" s="5" t="n">
        <v>1</v>
      </c>
      <c r="P69" s="5" t="n">
        <v>0.15</v>
      </c>
      <c r="Q69" s="5" t="n">
        <v>0.06</v>
      </c>
      <c r="R69" s="5" t="n">
        <v>2</v>
      </c>
      <c r="S69" s="5" t="n">
        <v>0.1</v>
      </c>
      <c r="T69" s="5" t="n">
        <v>20</v>
      </c>
      <c r="U69" s="5" t="n">
        <v>0</v>
      </c>
      <c r="V69" s="5" t="n">
        <v>20</v>
      </c>
      <c r="W69" s="5" t="n">
        <v>1.5</v>
      </c>
      <c r="X69" s="5" t="n">
        <v>45</v>
      </c>
      <c r="Y69" s="5" t="n">
        <v>1.3</v>
      </c>
      <c r="Z69" s="5" t="n">
        <v>190</v>
      </c>
      <c r="AA69" s="7" t="n">
        <v>1.4</v>
      </c>
    </row>
    <row r="70" customFormat="false" ht="26.25" hidden="false" customHeight="true" outlineLevel="0" collapsed="false">
      <c r="A70" s="4" t="s">
        <v>97</v>
      </c>
      <c r="B70" s="4" t="s">
        <v>28</v>
      </c>
      <c r="C70" s="5" t="n">
        <v>3.1</v>
      </c>
      <c r="D70" s="5"/>
      <c r="E70" s="4" t="s">
        <v>29</v>
      </c>
      <c r="F70" s="6" t="s">
        <v>28</v>
      </c>
      <c r="G70" s="5" t="n">
        <v>360</v>
      </c>
      <c r="H70" s="5" t="n">
        <v>0.7</v>
      </c>
      <c r="I70" s="5" t="n">
        <v>7</v>
      </c>
      <c r="J70" s="5" t="n">
        <v>79</v>
      </c>
      <c r="K70" s="5" t="n">
        <v>0</v>
      </c>
      <c r="L70" s="5" t="n">
        <v>0</v>
      </c>
      <c r="M70" s="5" t="n">
        <v>0</v>
      </c>
      <c r="N70" s="5" t="n">
        <v>0.1</v>
      </c>
      <c r="O70" s="5" t="n">
        <v>0</v>
      </c>
      <c r="P70" s="5" t="n">
        <v>0.07</v>
      </c>
      <c r="Q70" s="5" t="n">
        <v>0.05</v>
      </c>
      <c r="R70" s="5" t="n">
        <v>1.6</v>
      </c>
      <c r="S70" s="5" t="n">
        <v>0.16</v>
      </c>
      <c r="T70" s="5" t="n">
        <v>8</v>
      </c>
      <c r="U70" s="5" t="n">
        <v>0</v>
      </c>
      <c r="V70" s="5" t="n">
        <v>10</v>
      </c>
      <c r="W70" s="5" t="n">
        <v>0.8</v>
      </c>
      <c r="X70" s="5" t="n">
        <v>25</v>
      </c>
      <c r="Y70" s="5" t="n">
        <v>1.1</v>
      </c>
      <c r="Z70" s="5" t="n">
        <v>76</v>
      </c>
      <c r="AA70" s="7" t="n">
        <v>0.8</v>
      </c>
    </row>
    <row r="71" customFormat="false" ht="26.25" hidden="false" customHeight="true" outlineLevel="0" collapsed="false">
      <c r="A71" s="4" t="s">
        <v>98</v>
      </c>
      <c r="B71" s="4" t="s">
        <v>28</v>
      </c>
      <c r="C71" s="5" t="n">
        <v>0.6</v>
      </c>
      <c r="D71" s="5"/>
      <c r="E71" s="4" t="s">
        <v>29</v>
      </c>
      <c r="F71" s="6" t="s">
        <v>28</v>
      </c>
      <c r="G71" s="5" t="n">
        <v>342</v>
      </c>
      <c r="H71" s="5" t="n">
        <v>1.3</v>
      </c>
      <c r="I71" s="5" t="n">
        <v>12.3</v>
      </c>
      <c r="J71" s="5" t="n">
        <v>76</v>
      </c>
      <c r="K71" s="5" t="n">
        <v>0</v>
      </c>
      <c r="L71" s="5" t="n">
        <v>0</v>
      </c>
      <c r="M71" s="5" t="n">
        <v>0</v>
      </c>
      <c r="N71" s="5" t="n">
        <v>0.1</v>
      </c>
      <c r="O71" s="5" t="n">
        <v>0</v>
      </c>
      <c r="P71" s="5" t="n">
        <v>0.1</v>
      </c>
      <c r="Q71" s="5" t="n">
        <v>0.08</v>
      </c>
      <c r="R71" s="5" t="n">
        <v>4.6</v>
      </c>
      <c r="S71" s="5" t="n">
        <v>0.17</v>
      </c>
      <c r="T71" s="5" t="n">
        <v>32</v>
      </c>
      <c r="U71" s="5" t="n">
        <v>0</v>
      </c>
      <c r="V71" s="5" t="n">
        <v>25</v>
      </c>
      <c r="W71" s="5" t="n">
        <v>2</v>
      </c>
      <c r="X71" s="5" t="n">
        <v>60</v>
      </c>
      <c r="Y71" s="5" t="n">
        <v>1.5</v>
      </c>
      <c r="Z71" s="5" t="n">
        <v>240</v>
      </c>
      <c r="AA71" s="7" t="n">
        <v>1.5</v>
      </c>
    </row>
    <row r="72" customFormat="false" ht="26.25" hidden="false" customHeight="true" outlineLevel="0" collapsed="false">
      <c r="A72" s="4" t="s">
        <v>99</v>
      </c>
      <c r="B72" s="4" t="s">
        <v>28</v>
      </c>
      <c r="C72" s="5" t="n">
        <v>0.6</v>
      </c>
      <c r="D72" s="5"/>
      <c r="E72" s="4" t="s">
        <v>29</v>
      </c>
      <c r="F72" s="6" t="s">
        <v>28</v>
      </c>
      <c r="G72" s="5" t="n">
        <v>230</v>
      </c>
      <c r="H72" s="5" t="n">
        <v>1.5</v>
      </c>
      <c r="I72" s="5" t="n">
        <v>7.5</v>
      </c>
      <c r="J72" s="5" t="n">
        <v>45</v>
      </c>
      <c r="K72" s="5" t="n">
        <v>0</v>
      </c>
      <c r="L72" s="5" t="n">
        <v>0</v>
      </c>
      <c r="M72" s="5" t="n">
        <v>0</v>
      </c>
      <c r="N72" s="5" t="n">
        <v>0.3</v>
      </c>
      <c r="O72" s="5" t="n">
        <v>0</v>
      </c>
      <c r="P72" s="5" t="n">
        <v>0.15</v>
      </c>
      <c r="Q72" s="5" t="n">
        <v>0.08</v>
      </c>
      <c r="R72" s="5" t="n">
        <v>1.8</v>
      </c>
      <c r="S72" s="5" t="n">
        <v>0.08</v>
      </c>
      <c r="T72" s="5" t="n">
        <v>25</v>
      </c>
      <c r="U72" s="5" t="n">
        <v>0</v>
      </c>
      <c r="V72" s="5" t="n">
        <v>30</v>
      </c>
      <c r="W72" s="5" t="n">
        <v>1.8</v>
      </c>
      <c r="X72" s="5" t="n">
        <v>30</v>
      </c>
      <c r="Y72" s="5" t="n">
        <v>0.8</v>
      </c>
      <c r="Z72" s="5" t="n">
        <v>150</v>
      </c>
      <c r="AA72" s="7" t="n">
        <v>1.8</v>
      </c>
    </row>
    <row r="73" customFormat="false" ht="26.25" hidden="false" customHeight="true" outlineLevel="0" collapsed="false">
      <c r="A73" s="4" t="s">
        <v>100</v>
      </c>
      <c r="B73" s="4" t="s">
        <v>28</v>
      </c>
      <c r="C73" s="5" t="n">
        <v>0.9</v>
      </c>
      <c r="D73" s="5"/>
      <c r="E73" s="4" t="s">
        <v>29</v>
      </c>
      <c r="F73" s="6" t="s">
        <v>28</v>
      </c>
      <c r="G73" s="5" t="n">
        <v>230</v>
      </c>
      <c r="H73" s="5" t="n">
        <v>1.5</v>
      </c>
      <c r="I73" s="5" t="n">
        <v>7.5</v>
      </c>
      <c r="J73" s="5" t="n">
        <v>45</v>
      </c>
      <c r="K73" s="5" t="n">
        <v>0</v>
      </c>
      <c r="L73" s="5" t="n">
        <v>0</v>
      </c>
      <c r="M73" s="5" t="n">
        <v>0</v>
      </c>
      <c r="N73" s="5" t="n">
        <v>0.3</v>
      </c>
      <c r="O73" s="5" t="n">
        <v>0</v>
      </c>
      <c r="P73" s="5" t="n">
        <v>0.15</v>
      </c>
      <c r="Q73" s="5" t="n">
        <v>0.08</v>
      </c>
      <c r="R73" s="5" t="n">
        <v>1.8</v>
      </c>
      <c r="S73" s="5" t="n">
        <v>0.08</v>
      </c>
      <c r="T73" s="5" t="n">
        <v>25</v>
      </c>
      <c r="U73" s="5" t="n">
        <v>0</v>
      </c>
      <c r="V73" s="5" t="n">
        <v>30</v>
      </c>
      <c r="W73" s="5" t="n">
        <v>1.8</v>
      </c>
      <c r="X73" s="5" t="n">
        <v>30</v>
      </c>
      <c r="Y73" s="5" t="n">
        <v>0.8</v>
      </c>
      <c r="Z73" s="5" t="n">
        <v>150</v>
      </c>
      <c r="AA73" s="7" t="n">
        <v>1.8</v>
      </c>
    </row>
    <row r="74" customFormat="false" ht="26.25" hidden="false" customHeight="true" outlineLevel="0" collapsed="false">
      <c r="A74" s="4" t="s">
        <v>101</v>
      </c>
      <c r="B74" s="4" t="s">
        <v>28</v>
      </c>
      <c r="C74" s="5" t="n">
        <v>0.7</v>
      </c>
      <c r="D74" s="5"/>
      <c r="E74" s="4" t="s">
        <v>29</v>
      </c>
      <c r="F74" s="6" t="s">
        <v>28</v>
      </c>
      <c r="G74" s="5" t="n">
        <v>270</v>
      </c>
      <c r="H74" s="5" t="n">
        <v>1.5</v>
      </c>
      <c r="I74" s="5" t="n">
        <v>8.5</v>
      </c>
      <c r="J74" s="5" t="n">
        <v>53</v>
      </c>
      <c r="K74" s="5" t="n">
        <v>0</v>
      </c>
      <c r="L74" s="5" t="n">
        <v>0</v>
      </c>
      <c r="M74" s="5" t="n">
        <v>0</v>
      </c>
      <c r="N74" s="5" t="n">
        <v>0.2</v>
      </c>
      <c r="O74" s="5" t="n">
        <v>0</v>
      </c>
      <c r="P74" s="5" t="n">
        <v>0.12</v>
      </c>
      <c r="Q74" s="5" t="n">
        <v>0.07</v>
      </c>
      <c r="R74" s="5" t="n">
        <v>1.6</v>
      </c>
      <c r="S74" s="5" t="n">
        <v>0.05</v>
      </c>
      <c r="T74" s="5" t="n">
        <v>20</v>
      </c>
      <c r="U74" s="5" t="n">
        <v>0</v>
      </c>
      <c r="V74" s="5" t="n">
        <v>20</v>
      </c>
      <c r="W74" s="5" t="n">
        <v>1.2</v>
      </c>
      <c r="X74" s="5" t="n">
        <v>20</v>
      </c>
      <c r="Y74" s="5" t="n">
        <v>0.6</v>
      </c>
      <c r="Z74" s="5" t="n">
        <v>110</v>
      </c>
      <c r="AA74" s="7" t="n">
        <v>2.1</v>
      </c>
    </row>
    <row r="75" customFormat="false" ht="26.25" hidden="false" customHeight="true" outlineLevel="0" collapsed="false">
      <c r="A75" s="4" t="s">
        <v>102</v>
      </c>
      <c r="B75" s="4" t="s">
        <v>28</v>
      </c>
      <c r="C75" s="5" t="n">
        <v>0.6</v>
      </c>
      <c r="D75" s="5"/>
      <c r="E75" s="4" t="s">
        <v>29</v>
      </c>
      <c r="F75" s="6" t="s">
        <v>28</v>
      </c>
      <c r="G75" s="5" t="n">
        <v>370</v>
      </c>
      <c r="H75" s="5" t="n">
        <v>7</v>
      </c>
      <c r="I75" s="5" t="n">
        <v>13</v>
      </c>
      <c r="J75" s="5" t="n">
        <v>60</v>
      </c>
      <c r="K75" s="5" t="n">
        <v>0</v>
      </c>
      <c r="L75" s="5" t="n">
        <v>0</v>
      </c>
      <c r="M75" s="5" t="n">
        <v>0</v>
      </c>
      <c r="N75" s="5" t="n">
        <v>0.4</v>
      </c>
      <c r="O75" s="5" t="n">
        <v>0</v>
      </c>
      <c r="P75" s="5" t="n">
        <v>0.5</v>
      </c>
      <c r="Q75" s="5" t="n">
        <v>0.1</v>
      </c>
      <c r="R75" s="5" t="n">
        <v>1</v>
      </c>
      <c r="S75" s="5" t="n">
        <v>0.1</v>
      </c>
      <c r="T75" s="5" t="n">
        <v>30</v>
      </c>
      <c r="U75" s="5" t="n">
        <v>0</v>
      </c>
      <c r="V75" s="5" t="n">
        <v>55</v>
      </c>
      <c r="W75" s="5" t="n">
        <v>4.5</v>
      </c>
      <c r="X75" s="5" t="n">
        <v>130</v>
      </c>
      <c r="Y75" s="5" t="n">
        <v>3.6</v>
      </c>
      <c r="Z75" s="5" t="n">
        <v>400</v>
      </c>
      <c r="AA75" s="7" t="n">
        <v>1.2</v>
      </c>
    </row>
    <row r="76" customFormat="false" ht="26.25" hidden="false" customHeight="true" outlineLevel="0" collapsed="false">
      <c r="A76" s="4" t="s">
        <v>103</v>
      </c>
      <c r="B76" s="4" t="s">
        <v>28</v>
      </c>
      <c r="C76" s="5" t="n">
        <v>0.6</v>
      </c>
      <c r="D76" s="5"/>
      <c r="E76" s="4" t="s">
        <v>29</v>
      </c>
      <c r="F76" s="6" t="s">
        <v>28</v>
      </c>
      <c r="G76" s="5" t="n">
        <v>150</v>
      </c>
      <c r="H76" s="5" t="n">
        <v>0.5</v>
      </c>
      <c r="I76" s="5" t="n">
        <v>3.5</v>
      </c>
      <c r="J76" s="5" t="n">
        <v>31</v>
      </c>
      <c r="K76" s="5" t="n">
        <v>0</v>
      </c>
      <c r="L76" s="5" t="n">
        <v>3</v>
      </c>
      <c r="M76" s="5" t="n">
        <v>0</v>
      </c>
      <c r="N76" s="5" t="n">
        <v>0</v>
      </c>
      <c r="O76" s="5" t="n">
        <v>0</v>
      </c>
      <c r="P76" s="5" t="n">
        <v>0.05</v>
      </c>
      <c r="Q76" s="5" t="n">
        <v>0.02</v>
      </c>
      <c r="R76" s="5" t="n">
        <v>0.6</v>
      </c>
      <c r="S76" s="5" t="n">
        <v>0.1</v>
      </c>
      <c r="T76" s="5" t="n">
        <v>10</v>
      </c>
      <c r="U76" s="5" t="n">
        <v>0</v>
      </c>
      <c r="V76" s="5" t="n">
        <v>15</v>
      </c>
      <c r="W76" s="5" t="n">
        <v>0.6</v>
      </c>
      <c r="X76" s="5" t="n">
        <v>15</v>
      </c>
      <c r="Y76" s="5" t="n">
        <v>0.3</v>
      </c>
      <c r="Z76" s="5" t="n">
        <v>250</v>
      </c>
      <c r="AA76" s="7" t="n">
        <v>0.6</v>
      </c>
    </row>
    <row r="77" customFormat="false" ht="26.25" hidden="false" customHeight="true" outlineLevel="0" collapsed="false">
      <c r="A77" s="4" t="s">
        <v>104</v>
      </c>
      <c r="B77" s="4" t="s">
        <v>28</v>
      </c>
      <c r="C77" s="5" t="n">
        <v>1.6</v>
      </c>
      <c r="D77" s="5"/>
      <c r="E77" s="4" t="s">
        <v>29</v>
      </c>
      <c r="F77" s="6" t="s">
        <v>28</v>
      </c>
      <c r="G77" s="5" t="n">
        <v>400</v>
      </c>
      <c r="H77" s="5" t="n">
        <v>18</v>
      </c>
      <c r="I77" s="5" t="n">
        <v>6</v>
      </c>
      <c r="J77" s="5" t="n">
        <v>55</v>
      </c>
      <c r="K77" s="5" t="n">
        <v>20</v>
      </c>
      <c r="L77" s="5" t="n">
        <v>0</v>
      </c>
      <c r="M77" s="5" t="n">
        <v>0.3</v>
      </c>
      <c r="N77" s="5" t="n">
        <v>1</v>
      </c>
      <c r="O77" s="5" t="n">
        <v>3</v>
      </c>
      <c r="P77" s="5" t="n">
        <v>0.1</v>
      </c>
      <c r="Q77" s="5" t="n">
        <v>0.1</v>
      </c>
      <c r="R77" s="5" t="n">
        <v>1</v>
      </c>
      <c r="S77" s="5" t="n">
        <v>0.05</v>
      </c>
      <c r="T77" s="5" t="n">
        <v>20</v>
      </c>
      <c r="U77" s="5" t="n">
        <v>0.1</v>
      </c>
      <c r="V77" s="5" t="n">
        <v>40</v>
      </c>
      <c r="W77" s="5" t="n">
        <v>1.2</v>
      </c>
      <c r="X77" s="5" t="n">
        <v>20</v>
      </c>
      <c r="Y77" s="5" t="n">
        <v>0.4</v>
      </c>
      <c r="Z77" s="5" t="n">
        <v>120</v>
      </c>
      <c r="AA77" s="7" t="n">
        <v>13.8</v>
      </c>
    </row>
    <row r="78" customFormat="false" ht="15" hidden="false" customHeight="true" outlineLevel="0" collapsed="false">
      <c r="A78" s="4" t="s">
        <v>105</v>
      </c>
      <c r="B78" s="4" t="s">
        <v>106</v>
      </c>
      <c r="C78" s="5" t="n">
        <v>1.68</v>
      </c>
      <c r="D78" s="5"/>
      <c r="E78" s="4" t="s">
        <v>29</v>
      </c>
      <c r="F78" s="6" t="s">
        <v>106</v>
      </c>
      <c r="G78" s="5" t="n">
        <v>340</v>
      </c>
      <c r="H78" s="5" t="n">
        <v>1</v>
      </c>
      <c r="I78" s="5" t="n">
        <v>10</v>
      </c>
      <c r="J78" s="5" t="n">
        <v>70</v>
      </c>
      <c r="K78" s="5" t="n">
        <v>0</v>
      </c>
      <c r="L78" s="5" t="n">
        <v>0</v>
      </c>
      <c r="M78" s="5" t="n">
        <v>0</v>
      </c>
      <c r="N78" s="5" t="n">
        <v>0.1</v>
      </c>
      <c r="O78" s="5" t="n">
        <v>0</v>
      </c>
      <c r="P78" s="5" t="n">
        <v>0.12</v>
      </c>
      <c r="Q78" s="5" t="n">
        <v>0.06</v>
      </c>
      <c r="R78" s="5" t="n">
        <v>1.5</v>
      </c>
      <c r="S78" s="5" t="n">
        <v>0.06</v>
      </c>
      <c r="T78" s="5" t="n">
        <v>26</v>
      </c>
      <c r="U78" s="5" t="n">
        <v>0</v>
      </c>
      <c r="V78" s="5" t="n">
        <v>15</v>
      </c>
      <c r="W78" s="5" t="n">
        <v>1.2</v>
      </c>
      <c r="X78" s="5" t="n">
        <v>22</v>
      </c>
      <c r="Y78" s="5" t="n">
        <v>0.7</v>
      </c>
      <c r="Z78" s="5" t="n">
        <v>120</v>
      </c>
      <c r="AA78" s="7" t="n">
        <v>1.4</v>
      </c>
    </row>
    <row r="79" customFormat="false" ht="15" hidden="false" customHeight="true" outlineLevel="0" collapsed="false">
      <c r="A79" s="4" t="s">
        <v>107</v>
      </c>
      <c r="B79" s="4" t="s">
        <v>106</v>
      </c>
      <c r="C79" s="5" t="n">
        <v>1.68</v>
      </c>
      <c r="D79" s="5"/>
      <c r="E79" s="4" t="s">
        <v>29</v>
      </c>
      <c r="F79" s="6" t="s">
        <v>106</v>
      </c>
      <c r="G79" s="5" t="n">
        <v>325</v>
      </c>
      <c r="H79" s="5" t="n">
        <v>1.5</v>
      </c>
      <c r="I79" s="5" t="n">
        <v>8.5</v>
      </c>
      <c r="J79" s="5" t="n">
        <v>70</v>
      </c>
      <c r="K79" s="5" t="n">
        <v>0</v>
      </c>
      <c r="L79" s="5" t="n">
        <v>0</v>
      </c>
      <c r="M79" s="5" t="n">
        <v>0</v>
      </c>
      <c r="N79" s="5" t="n">
        <v>0.4</v>
      </c>
      <c r="O79" s="5" t="n">
        <v>0</v>
      </c>
      <c r="P79" s="5" t="n">
        <v>0.35</v>
      </c>
      <c r="Q79" s="5" t="n">
        <v>0.15</v>
      </c>
      <c r="R79" s="5" t="n">
        <v>1.8</v>
      </c>
      <c r="S79" s="5" t="n">
        <v>0.25</v>
      </c>
      <c r="T79" s="5" t="n">
        <v>40</v>
      </c>
      <c r="U79" s="5" t="n">
        <v>0</v>
      </c>
      <c r="V79" s="5" t="n">
        <v>30</v>
      </c>
      <c r="W79" s="5" t="n">
        <v>2.5</v>
      </c>
      <c r="X79" s="5" t="n">
        <v>60</v>
      </c>
      <c r="Y79" s="5" t="n">
        <v>1.5</v>
      </c>
      <c r="Z79" s="5" t="n">
        <v>300</v>
      </c>
      <c r="AA79" s="7" t="n">
        <v>1.4</v>
      </c>
    </row>
    <row r="80" customFormat="false" ht="26.25" hidden="false" customHeight="true" outlineLevel="0" collapsed="false">
      <c r="A80" s="4" t="s">
        <v>108</v>
      </c>
      <c r="B80" s="4" t="s">
        <v>28</v>
      </c>
      <c r="C80" s="5" t="n">
        <v>1.3</v>
      </c>
      <c r="D80" s="5"/>
      <c r="E80" s="4" t="s">
        <v>29</v>
      </c>
      <c r="F80" s="6" t="s">
        <v>28</v>
      </c>
      <c r="G80" s="5" t="n">
        <v>140</v>
      </c>
      <c r="H80" s="5" t="n">
        <v>2.5</v>
      </c>
      <c r="I80" s="5" t="n">
        <v>7.5</v>
      </c>
      <c r="J80" s="5" t="n">
        <v>20</v>
      </c>
      <c r="K80" s="5" t="n">
        <v>1</v>
      </c>
      <c r="L80" s="5" t="n">
        <v>1</v>
      </c>
      <c r="M80" s="5" t="n">
        <v>0</v>
      </c>
      <c r="N80" s="5" t="n">
        <v>0.3</v>
      </c>
      <c r="O80" s="5" t="n">
        <v>4</v>
      </c>
      <c r="P80" s="5" t="n">
        <v>0.08</v>
      </c>
      <c r="Q80" s="5" t="n">
        <v>0.04</v>
      </c>
      <c r="R80" s="5" t="n">
        <v>0.4</v>
      </c>
      <c r="S80" s="5" t="n">
        <v>0.1</v>
      </c>
      <c r="T80" s="5" t="n">
        <v>90</v>
      </c>
      <c r="U80" s="5" t="n">
        <v>0</v>
      </c>
      <c r="V80" s="5" t="n">
        <v>40</v>
      </c>
      <c r="W80" s="5" t="n">
        <v>1.6</v>
      </c>
      <c r="X80" s="5" t="n">
        <v>30</v>
      </c>
      <c r="Y80" s="5" t="n">
        <v>1</v>
      </c>
      <c r="Z80" s="5" t="n">
        <v>180</v>
      </c>
      <c r="AA80" s="7" t="n">
        <v>1</v>
      </c>
    </row>
    <row r="81" customFormat="false" ht="26.25" hidden="false" customHeight="true" outlineLevel="0" collapsed="false">
      <c r="A81" s="4" t="s">
        <v>109</v>
      </c>
      <c r="B81" s="4" t="s">
        <v>28</v>
      </c>
      <c r="C81" s="5" t="n">
        <v>1.2</v>
      </c>
      <c r="D81" s="5"/>
      <c r="E81" s="4" t="s">
        <v>29</v>
      </c>
      <c r="F81" s="6" t="s">
        <v>28</v>
      </c>
      <c r="G81" s="5" t="n">
        <v>325</v>
      </c>
      <c r="H81" s="5" t="n">
        <v>1.5</v>
      </c>
      <c r="I81" s="5" t="n">
        <v>24</v>
      </c>
      <c r="J81" s="5" t="n">
        <v>52</v>
      </c>
      <c r="K81" s="5" t="n">
        <v>0</v>
      </c>
      <c r="L81" s="5" t="n">
        <v>2</v>
      </c>
      <c r="M81" s="5" t="n">
        <v>0</v>
      </c>
      <c r="N81" s="5" t="n">
        <v>0.5</v>
      </c>
      <c r="O81" s="5" t="n">
        <v>5</v>
      </c>
      <c r="P81" s="5" t="n">
        <v>0.5</v>
      </c>
      <c r="Q81" s="5" t="n">
        <v>0.25</v>
      </c>
      <c r="R81" s="5" t="n">
        <v>2.5</v>
      </c>
      <c r="S81" s="5" t="n">
        <v>0.5</v>
      </c>
      <c r="T81" s="5" t="n">
        <v>480</v>
      </c>
      <c r="U81" s="5" t="n">
        <v>0</v>
      </c>
      <c r="V81" s="5" t="n">
        <v>50</v>
      </c>
      <c r="W81" s="5" t="n">
        <v>7.5</v>
      </c>
      <c r="X81" s="5" t="n">
        <v>90</v>
      </c>
      <c r="Y81" s="5" t="n">
        <v>3.5</v>
      </c>
      <c r="Z81" s="5" t="n">
        <v>950</v>
      </c>
      <c r="AA81" s="7" t="n">
        <v>36.4</v>
      </c>
    </row>
    <row r="82" customFormat="false" ht="26.25" hidden="false" customHeight="true" outlineLevel="0" collapsed="false">
      <c r="A82" s="4" t="s">
        <v>110</v>
      </c>
      <c r="B82" s="4" t="s">
        <v>28</v>
      </c>
      <c r="C82" s="5" t="n">
        <v>1.7</v>
      </c>
      <c r="D82" s="5"/>
      <c r="E82" s="4" t="s">
        <v>29</v>
      </c>
      <c r="F82" s="6" t="s">
        <v>28</v>
      </c>
      <c r="G82" s="5" t="n">
        <v>325</v>
      </c>
      <c r="H82" s="5" t="n">
        <v>1.5</v>
      </c>
      <c r="I82" s="5" t="n">
        <v>24</v>
      </c>
      <c r="J82" s="5" t="n">
        <v>52</v>
      </c>
      <c r="K82" s="5" t="n">
        <v>0</v>
      </c>
      <c r="L82" s="5" t="n">
        <v>2</v>
      </c>
      <c r="M82" s="5" t="n">
        <v>0</v>
      </c>
      <c r="N82" s="5" t="n">
        <v>0.5</v>
      </c>
      <c r="O82" s="5" t="n">
        <v>5</v>
      </c>
      <c r="P82" s="5" t="n">
        <v>0.5</v>
      </c>
      <c r="Q82" s="5" t="n">
        <v>0.25</v>
      </c>
      <c r="R82" s="5" t="n">
        <v>2.5</v>
      </c>
      <c r="S82" s="5" t="n">
        <v>0.5</v>
      </c>
      <c r="T82" s="5" t="n">
        <v>480</v>
      </c>
      <c r="U82" s="5" t="n">
        <v>0</v>
      </c>
      <c r="V82" s="5" t="n">
        <v>50</v>
      </c>
      <c r="W82" s="5" t="n">
        <v>7.5</v>
      </c>
      <c r="X82" s="5" t="n">
        <v>90</v>
      </c>
      <c r="Y82" s="5" t="n">
        <v>3.5</v>
      </c>
      <c r="Z82" s="5" t="n">
        <v>950</v>
      </c>
      <c r="AA82" s="7" t="n">
        <v>36.4</v>
      </c>
    </row>
    <row r="83" customFormat="false" ht="26.25" hidden="false" customHeight="true" outlineLevel="0" collapsed="false">
      <c r="A83" s="4" t="s">
        <v>111</v>
      </c>
      <c r="B83" s="4" t="s">
        <v>28</v>
      </c>
      <c r="C83" s="5" t="n">
        <v>1.7</v>
      </c>
      <c r="D83" s="5"/>
      <c r="E83" s="4" t="s">
        <v>29</v>
      </c>
      <c r="F83" s="6" t="s">
        <v>28</v>
      </c>
      <c r="G83" s="5" t="n">
        <v>110</v>
      </c>
      <c r="H83" s="5" t="n">
        <v>0.4</v>
      </c>
      <c r="I83" s="5" t="n">
        <v>8</v>
      </c>
      <c r="J83" s="5" t="n">
        <v>18</v>
      </c>
      <c r="K83" s="5" t="n">
        <v>0</v>
      </c>
      <c r="L83" s="5" t="n">
        <v>1</v>
      </c>
      <c r="M83" s="5" t="n">
        <v>0</v>
      </c>
      <c r="N83" s="5" t="n">
        <v>0.1</v>
      </c>
      <c r="O83" s="5" t="n">
        <v>2</v>
      </c>
      <c r="P83" s="5" t="n">
        <v>0.1</v>
      </c>
      <c r="Q83" s="5" t="n">
        <v>0.05</v>
      </c>
      <c r="R83" s="5" t="n">
        <v>0.8</v>
      </c>
      <c r="S83" s="5" t="n">
        <v>0.15</v>
      </c>
      <c r="T83" s="5" t="n">
        <v>100</v>
      </c>
      <c r="U83" s="5" t="n">
        <v>0</v>
      </c>
      <c r="V83" s="5" t="n">
        <v>20</v>
      </c>
      <c r="W83" s="5" t="n">
        <v>2</v>
      </c>
      <c r="X83" s="5" t="n">
        <v>25</v>
      </c>
      <c r="Y83" s="5" t="n">
        <v>0.9</v>
      </c>
      <c r="Z83" s="5" t="n">
        <v>270</v>
      </c>
      <c r="AA83" s="7" t="n">
        <v>0.5</v>
      </c>
    </row>
    <row r="84" customFormat="false" ht="26.25" hidden="false" customHeight="true" outlineLevel="0" collapsed="false">
      <c r="A84" s="4" t="s">
        <v>112</v>
      </c>
      <c r="B84" s="4" t="s">
        <v>28</v>
      </c>
      <c r="C84" s="5" t="n">
        <v>0.4</v>
      </c>
      <c r="D84" s="5"/>
      <c r="E84" s="4" t="s">
        <v>29</v>
      </c>
      <c r="F84" s="6" t="s">
        <v>28</v>
      </c>
      <c r="G84" s="5" t="n">
        <v>81</v>
      </c>
      <c r="H84" s="5" t="n">
        <v>0.4</v>
      </c>
      <c r="I84" s="5" t="n">
        <v>5.4</v>
      </c>
      <c r="J84" s="5" t="n">
        <v>14</v>
      </c>
      <c r="K84" s="5" t="n">
        <v>38</v>
      </c>
      <c r="L84" s="5" t="n">
        <v>40</v>
      </c>
      <c r="M84" s="5" t="n">
        <v>0</v>
      </c>
      <c r="N84" s="5" t="n">
        <v>0.1</v>
      </c>
      <c r="O84" s="5" t="n">
        <v>25</v>
      </c>
      <c r="P84" s="5" t="n">
        <v>0.27</v>
      </c>
      <c r="Q84" s="5" t="n">
        <v>0.13</v>
      </c>
      <c r="R84" s="5" t="n">
        <v>2.1</v>
      </c>
      <c r="S84" s="5" t="n">
        <v>0.16</v>
      </c>
      <c r="T84" s="5" t="n">
        <v>65</v>
      </c>
      <c r="U84" s="5" t="n">
        <v>0</v>
      </c>
      <c r="V84" s="5" t="n">
        <v>25</v>
      </c>
      <c r="W84" s="5" t="n">
        <v>1.5</v>
      </c>
      <c r="X84" s="5" t="n">
        <v>33</v>
      </c>
      <c r="Y84" s="5" t="n">
        <v>1.2</v>
      </c>
      <c r="Z84" s="5" t="n">
        <v>244</v>
      </c>
      <c r="AA84" s="7" t="n">
        <v>2.1</v>
      </c>
    </row>
    <row r="85" customFormat="false" ht="26.25" hidden="false" customHeight="true" outlineLevel="0" collapsed="false">
      <c r="A85" s="4" t="s">
        <v>113</v>
      </c>
      <c r="B85" s="4" t="s">
        <v>28</v>
      </c>
      <c r="C85" s="5" t="n">
        <v>1.2</v>
      </c>
      <c r="D85" s="5"/>
      <c r="E85" s="4" t="s">
        <v>29</v>
      </c>
      <c r="F85" s="6" t="s">
        <v>28</v>
      </c>
      <c r="G85" s="5" t="n">
        <v>70</v>
      </c>
      <c r="H85" s="5" t="n">
        <v>0.4</v>
      </c>
      <c r="I85" s="5" t="n">
        <v>5</v>
      </c>
      <c r="J85" s="5" t="n">
        <v>12</v>
      </c>
      <c r="K85" s="5" t="n">
        <v>35</v>
      </c>
      <c r="L85" s="5" t="n">
        <v>15</v>
      </c>
      <c r="M85" s="5" t="n">
        <v>0</v>
      </c>
      <c r="N85" s="5" t="n">
        <v>0.1</v>
      </c>
      <c r="O85" s="5" t="n">
        <v>20</v>
      </c>
      <c r="P85" s="5" t="n">
        <v>0.15</v>
      </c>
      <c r="Q85" s="5" t="n">
        <v>0.1</v>
      </c>
      <c r="R85" s="5" t="n">
        <v>1.5</v>
      </c>
      <c r="S85" s="5" t="n">
        <v>0.1</v>
      </c>
      <c r="T85" s="5" t="n">
        <v>30</v>
      </c>
      <c r="U85" s="5" t="n">
        <v>0</v>
      </c>
      <c r="V85" s="5" t="n">
        <v>25</v>
      </c>
      <c r="W85" s="5" t="n">
        <v>1.4</v>
      </c>
      <c r="X85" s="5" t="n">
        <v>30</v>
      </c>
      <c r="Y85" s="5" t="n">
        <v>1.1</v>
      </c>
      <c r="Z85" s="5" t="n">
        <v>220</v>
      </c>
      <c r="AA85" s="7" t="n">
        <v>1.8</v>
      </c>
    </row>
    <row r="86" customFormat="false" ht="26.25" hidden="false" customHeight="true" outlineLevel="0" collapsed="false">
      <c r="A86" s="4" t="s">
        <v>114</v>
      </c>
      <c r="B86" s="4" t="s">
        <v>28</v>
      </c>
      <c r="C86" s="5" t="n">
        <v>1.7</v>
      </c>
      <c r="D86" s="5"/>
      <c r="E86" s="4" t="s">
        <v>29</v>
      </c>
      <c r="F86" s="6" t="s">
        <v>28</v>
      </c>
      <c r="G86" s="5" t="n">
        <v>65</v>
      </c>
      <c r="H86" s="5" t="n">
        <v>0.3</v>
      </c>
      <c r="I86" s="5" t="n">
        <v>4.5</v>
      </c>
      <c r="J86" s="5" t="n">
        <v>11</v>
      </c>
      <c r="K86" s="5" t="n">
        <v>30</v>
      </c>
      <c r="L86" s="5" t="n">
        <v>8</v>
      </c>
      <c r="M86" s="5" t="n">
        <v>0</v>
      </c>
      <c r="N86" s="5" t="n">
        <v>0.1</v>
      </c>
      <c r="O86" s="5" t="n">
        <v>15</v>
      </c>
      <c r="P86" s="5" t="n">
        <v>0.1</v>
      </c>
      <c r="Q86" s="5" t="n">
        <v>0.08</v>
      </c>
      <c r="R86" s="5" t="n">
        <v>1.2</v>
      </c>
      <c r="S86" s="5" t="n">
        <v>0.08</v>
      </c>
      <c r="T86" s="5" t="n">
        <v>25</v>
      </c>
      <c r="U86" s="5" t="n">
        <v>0</v>
      </c>
      <c r="V86" s="5" t="n">
        <v>20</v>
      </c>
      <c r="W86" s="5" t="n">
        <v>1.2</v>
      </c>
      <c r="X86" s="5" t="n">
        <v>25</v>
      </c>
      <c r="Y86" s="5" t="n">
        <v>1</v>
      </c>
      <c r="Z86" s="5" t="n">
        <v>180</v>
      </c>
      <c r="AA86" s="7" t="n">
        <v>1.6</v>
      </c>
    </row>
    <row r="87" customFormat="false" ht="26.25" hidden="false" customHeight="true" outlineLevel="0" collapsed="false">
      <c r="A87" s="4" t="s">
        <v>115</v>
      </c>
      <c r="B87" s="4" t="s">
        <v>28</v>
      </c>
      <c r="C87" s="5" t="n">
        <v>1.7</v>
      </c>
      <c r="D87" s="5"/>
      <c r="E87" s="4" t="s">
        <v>29</v>
      </c>
      <c r="F87" s="6" t="s">
        <v>28</v>
      </c>
      <c r="G87" s="5" t="n">
        <v>65</v>
      </c>
      <c r="H87" s="5" t="n">
        <v>0.3</v>
      </c>
      <c r="I87" s="5" t="n">
        <v>4.5</v>
      </c>
      <c r="J87" s="5" t="n">
        <v>11</v>
      </c>
      <c r="K87" s="5" t="n">
        <v>30</v>
      </c>
      <c r="L87" s="5" t="n">
        <v>8</v>
      </c>
      <c r="M87" s="5" t="n">
        <v>0</v>
      </c>
      <c r="N87" s="5" t="n">
        <v>0.1</v>
      </c>
      <c r="O87" s="5" t="n">
        <v>15</v>
      </c>
      <c r="P87" s="5" t="n">
        <v>0.1</v>
      </c>
      <c r="Q87" s="5" t="n">
        <v>0.08</v>
      </c>
      <c r="R87" s="5" t="n">
        <v>1.2</v>
      </c>
      <c r="S87" s="5" t="n">
        <v>0.08</v>
      </c>
      <c r="T87" s="5" t="n">
        <v>25</v>
      </c>
      <c r="U87" s="5" t="n">
        <v>0</v>
      </c>
      <c r="V87" s="5" t="n">
        <v>20</v>
      </c>
      <c r="W87" s="5" t="n">
        <v>1.2</v>
      </c>
      <c r="X87" s="5" t="n">
        <v>25</v>
      </c>
      <c r="Y87" s="5" t="n">
        <v>1</v>
      </c>
      <c r="Z87" s="5" t="n">
        <v>180</v>
      </c>
      <c r="AA87" s="7" t="n">
        <v>1.6</v>
      </c>
    </row>
    <row r="88" customFormat="false" ht="26.25" hidden="false" customHeight="true" outlineLevel="0" collapsed="false">
      <c r="A88" s="4" t="s">
        <v>116</v>
      </c>
      <c r="B88" s="4" t="s">
        <v>28</v>
      </c>
      <c r="C88" s="5" t="n">
        <v>2.3</v>
      </c>
      <c r="D88" s="5"/>
      <c r="E88" s="4" t="s">
        <v>29</v>
      </c>
      <c r="F88" s="6" t="s">
        <v>28</v>
      </c>
      <c r="G88" s="5" t="n">
        <v>340</v>
      </c>
      <c r="H88" s="5" t="n">
        <v>1.2</v>
      </c>
      <c r="I88" s="5" t="n">
        <v>24</v>
      </c>
      <c r="J88" s="5" t="n">
        <v>60</v>
      </c>
      <c r="K88" s="5" t="n">
        <v>5</v>
      </c>
      <c r="L88" s="5" t="n">
        <v>1</v>
      </c>
      <c r="M88" s="5" t="n">
        <v>0</v>
      </c>
      <c r="N88" s="5" t="n">
        <v>0.2</v>
      </c>
      <c r="O88" s="5" t="n">
        <v>10</v>
      </c>
      <c r="P88" s="5" t="n">
        <v>0.72</v>
      </c>
      <c r="Q88" s="5" t="n">
        <v>0.3</v>
      </c>
      <c r="R88" s="5" t="n">
        <v>3</v>
      </c>
      <c r="S88" s="5" t="n">
        <v>0.3</v>
      </c>
      <c r="T88" s="5" t="n">
        <v>270</v>
      </c>
      <c r="U88" s="5" t="n">
        <v>0</v>
      </c>
      <c r="V88" s="5" t="n">
        <v>55</v>
      </c>
      <c r="W88" s="5" t="n">
        <v>4.8</v>
      </c>
      <c r="X88" s="5" t="n">
        <v>120</v>
      </c>
      <c r="Y88" s="5" t="n">
        <v>3.5</v>
      </c>
      <c r="Z88" s="5" t="n">
        <v>980</v>
      </c>
      <c r="AA88" s="7" t="n">
        <v>42</v>
      </c>
    </row>
    <row r="89" customFormat="false" ht="26.25" hidden="false" customHeight="true" outlineLevel="0" collapsed="false">
      <c r="A89" s="4" t="s">
        <v>117</v>
      </c>
      <c r="B89" s="4" t="s">
        <v>28</v>
      </c>
      <c r="C89" s="5" t="n">
        <v>1.2</v>
      </c>
      <c r="D89" s="5"/>
      <c r="E89" s="4" t="s">
        <v>29</v>
      </c>
      <c r="F89" s="6" t="s">
        <v>28</v>
      </c>
      <c r="G89" s="5" t="n">
        <v>75</v>
      </c>
      <c r="H89" s="5" t="n">
        <v>0.7</v>
      </c>
      <c r="I89" s="5" t="n">
        <v>2.5</v>
      </c>
      <c r="J89" s="5" t="n">
        <v>16</v>
      </c>
      <c r="K89" s="5" t="n">
        <v>8</v>
      </c>
      <c r="L89" s="5" t="n">
        <v>5</v>
      </c>
      <c r="M89" s="5" t="n">
        <v>0</v>
      </c>
      <c r="N89" s="5" t="n">
        <v>0.1</v>
      </c>
      <c r="O89" s="5" t="n">
        <v>0.3</v>
      </c>
      <c r="P89" s="5" t="n">
        <v>0.1</v>
      </c>
      <c r="Q89" s="5" t="n">
        <v>0.05</v>
      </c>
      <c r="R89" s="5" t="n">
        <v>1.2</v>
      </c>
      <c r="S89" s="5" t="n">
        <v>0.05</v>
      </c>
      <c r="T89" s="5" t="n">
        <v>30</v>
      </c>
      <c r="U89" s="5" t="n">
        <v>0</v>
      </c>
      <c r="V89" s="5" t="n">
        <v>3</v>
      </c>
      <c r="W89" s="5" t="n">
        <v>0.4</v>
      </c>
      <c r="X89" s="5" t="n">
        <v>20</v>
      </c>
      <c r="Y89" s="5" t="n">
        <v>0.4</v>
      </c>
      <c r="Z89" s="5" t="n">
        <v>220</v>
      </c>
      <c r="AA89" s="7" t="n">
        <v>3.2</v>
      </c>
    </row>
    <row r="90" customFormat="false" ht="26.25" hidden="false" customHeight="true" outlineLevel="0" collapsed="false">
      <c r="A90" s="4" t="s">
        <v>118</v>
      </c>
      <c r="B90" s="4" t="s">
        <v>28</v>
      </c>
      <c r="C90" s="5" t="n">
        <v>1</v>
      </c>
      <c r="D90" s="5"/>
      <c r="E90" s="4" t="s">
        <v>29</v>
      </c>
      <c r="F90" s="6" t="s">
        <v>28</v>
      </c>
      <c r="G90" s="5" t="n">
        <v>145</v>
      </c>
      <c r="H90" s="5" t="n">
        <v>9</v>
      </c>
      <c r="I90" s="5" t="n">
        <v>15</v>
      </c>
      <c r="J90" s="5" t="n">
        <v>3</v>
      </c>
      <c r="K90" s="5" t="n">
        <v>0</v>
      </c>
      <c r="L90" s="5" t="n">
        <v>0</v>
      </c>
      <c r="M90" s="5" t="n">
        <v>0</v>
      </c>
      <c r="N90" s="5" t="n">
        <v>0.1</v>
      </c>
      <c r="O90" s="5" t="n">
        <v>2</v>
      </c>
      <c r="P90" s="5" t="n">
        <v>0.08</v>
      </c>
      <c r="Q90" s="5" t="n">
        <v>0.05</v>
      </c>
      <c r="R90" s="5" t="n">
        <v>0.2</v>
      </c>
      <c r="S90" s="5" t="n">
        <v>0.05</v>
      </c>
      <c r="T90" s="5" t="n">
        <v>15</v>
      </c>
      <c r="U90" s="5" t="n">
        <v>0</v>
      </c>
      <c r="V90" s="5" t="n">
        <v>200</v>
      </c>
      <c r="W90" s="5" t="n">
        <v>2.7</v>
      </c>
      <c r="X90" s="5" t="n">
        <v>30</v>
      </c>
      <c r="Y90" s="5" t="n">
        <v>1</v>
      </c>
      <c r="Z90" s="5" t="n">
        <v>150</v>
      </c>
      <c r="AA90" s="7" t="n">
        <v>0.1</v>
      </c>
    </row>
    <row r="91" customFormat="false" ht="26.25" hidden="false" customHeight="true" outlineLevel="0" collapsed="false">
      <c r="A91" s="4" t="s">
        <v>119</v>
      </c>
      <c r="B91" s="4" t="s">
        <v>28</v>
      </c>
      <c r="C91" s="5" t="n">
        <v>0.7</v>
      </c>
      <c r="D91" s="5"/>
      <c r="E91" s="4" t="s">
        <v>29</v>
      </c>
      <c r="F91" s="6" t="s">
        <v>28</v>
      </c>
      <c r="G91" s="5" t="n">
        <v>195</v>
      </c>
      <c r="H91" s="5" t="n">
        <v>11</v>
      </c>
      <c r="I91" s="5" t="n">
        <v>19</v>
      </c>
      <c r="J91" s="5" t="n">
        <v>9</v>
      </c>
      <c r="K91" s="5" t="n">
        <v>0</v>
      </c>
      <c r="L91" s="5" t="n">
        <v>0</v>
      </c>
      <c r="M91" s="5" t="n">
        <v>0</v>
      </c>
      <c r="N91" s="5" t="n">
        <v>0.1</v>
      </c>
      <c r="O91" s="5" t="n">
        <v>0</v>
      </c>
      <c r="P91" s="5" t="n">
        <v>0.1</v>
      </c>
      <c r="Q91" s="5" t="n">
        <v>0.3</v>
      </c>
      <c r="R91" s="5" t="n">
        <v>3</v>
      </c>
      <c r="S91" s="5" t="n">
        <v>0.2</v>
      </c>
      <c r="T91" s="5" t="n">
        <v>24</v>
      </c>
      <c r="U91" s="5" t="n">
        <v>0</v>
      </c>
      <c r="V91" s="5" t="n">
        <v>111</v>
      </c>
      <c r="W91" s="5" t="n">
        <v>2.7</v>
      </c>
      <c r="X91" s="5" t="n">
        <v>81</v>
      </c>
      <c r="Y91" s="5" t="n">
        <v>1.1</v>
      </c>
      <c r="Z91" s="5" t="n">
        <v>412</v>
      </c>
      <c r="AA91" s="7" t="n">
        <v>0.2</v>
      </c>
    </row>
    <row r="92" customFormat="false" ht="26.25" hidden="false" customHeight="true" outlineLevel="0" collapsed="false">
      <c r="A92" s="4" t="s">
        <v>120</v>
      </c>
      <c r="B92" s="4" t="s">
        <v>28</v>
      </c>
      <c r="C92" s="5" t="n">
        <v>2.5</v>
      </c>
      <c r="D92" s="5"/>
      <c r="E92" s="4" t="s">
        <v>29</v>
      </c>
      <c r="F92" s="6" t="s">
        <v>28</v>
      </c>
      <c r="G92" s="5" t="n">
        <v>370</v>
      </c>
      <c r="H92" s="5" t="n">
        <v>2</v>
      </c>
      <c r="I92" s="5" t="n">
        <v>75</v>
      </c>
      <c r="J92" s="5" t="n">
        <v>14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0.1</v>
      </c>
      <c r="Q92" s="5" t="n">
        <v>0.1</v>
      </c>
      <c r="R92" s="5" t="n">
        <v>3</v>
      </c>
      <c r="S92" s="5" t="n">
        <v>0.05</v>
      </c>
      <c r="T92" s="5" t="n">
        <v>20</v>
      </c>
      <c r="U92" s="5" t="n">
        <v>0</v>
      </c>
      <c r="V92" s="5" t="n">
        <v>30</v>
      </c>
      <c r="W92" s="5" t="n">
        <v>4</v>
      </c>
      <c r="X92" s="5" t="n">
        <v>40</v>
      </c>
      <c r="Y92" s="5" t="n">
        <v>1</v>
      </c>
      <c r="Z92" s="5" t="n">
        <v>150</v>
      </c>
      <c r="AA92" s="7" t="n">
        <v>0.3</v>
      </c>
    </row>
    <row r="93" customFormat="false" ht="26.25" hidden="false" customHeight="true" outlineLevel="0" collapsed="false">
      <c r="A93" s="4" t="s">
        <v>121</v>
      </c>
      <c r="B93" s="4" t="s">
        <v>28</v>
      </c>
      <c r="C93" s="5" t="n">
        <v>1</v>
      </c>
      <c r="D93" s="5"/>
      <c r="E93" s="4" t="s">
        <v>29</v>
      </c>
      <c r="F93" s="6" t="s">
        <v>28</v>
      </c>
      <c r="G93" s="5" t="n">
        <v>340</v>
      </c>
      <c r="H93" s="5" t="n">
        <v>1</v>
      </c>
      <c r="I93" s="5" t="n">
        <v>50</v>
      </c>
      <c r="J93" s="5" t="n">
        <v>30</v>
      </c>
      <c r="K93" s="5" t="n">
        <v>0</v>
      </c>
      <c r="L93" s="5" t="n">
        <v>0</v>
      </c>
      <c r="M93" s="5" t="n">
        <v>0</v>
      </c>
      <c r="N93" s="5" t="n">
        <v>0.1</v>
      </c>
      <c r="O93" s="5" t="n">
        <v>0</v>
      </c>
      <c r="P93" s="5" t="n">
        <v>0.3</v>
      </c>
      <c r="Q93" s="5" t="n">
        <v>0.3</v>
      </c>
      <c r="R93" s="5" t="n">
        <v>2</v>
      </c>
      <c r="S93" s="5" t="n">
        <v>0.3</v>
      </c>
      <c r="T93" s="5" t="n">
        <v>200</v>
      </c>
      <c r="U93" s="5" t="n">
        <v>0</v>
      </c>
      <c r="V93" s="5" t="n">
        <v>200</v>
      </c>
      <c r="W93" s="5" t="n">
        <v>9</v>
      </c>
      <c r="X93" s="5" t="n">
        <v>240</v>
      </c>
      <c r="Y93" s="5" t="n">
        <v>4</v>
      </c>
      <c r="Z93" s="5" t="n">
        <v>2100</v>
      </c>
      <c r="AA93" s="7" t="n">
        <v>0.6</v>
      </c>
    </row>
    <row r="94" customFormat="false" ht="26.25" hidden="false" customHeight="true" outlineLevel="0" collapsed="false">
      <c r="A94" s="4" t="s">
        <v>122</v>
      </c>
      <c r="B94" s="4" t="s">
        <v>28</v>
      </c>
      <c r="C94" s="5" t="n">
        <v>0.4</v>
      </c>
      <c r="D94" s="5"/>
      <c r="E94" s="4" t="s">
        <v>29</v>
      </c>
      <c r="F94" s="6" t="s">
        <v>28</v>
      </c>
      <c r="G94" s="5" t="n">
        <v>350</v>
      </c>
      <c r="H94" s="5" t="n">
        <v>8</v>
      </c>
      <c r="I94" s="5" t="n">
        <v>40</v>
      </c>
      <c r="J94" s="5" t="n">
        <v>20</v>
      </c>
      <c r="K94" s="5" t="n">
        <v>0</v>
      </c>
      <c r="L94" s="5" t="n">
        <v>0</v>
      </c>
      <c r="M94" s="5" t="n">
        <v>0</v>
      </c>
      <c r="N94" s="5" t="n">
        <v>0.5</v>
      </c>
      <c r="O94" s="5" t="n">
        <v>0</v>
      </c>
      <c r="P94" s="5" t="n">
        <v>0.3</v>
      </c>
      <c r="Q94" s="5" t="n">
        <v>0.2</v>
      </c>
      <c r="R94" s="5" t="n">
        <v>2</v>
      </c>
      <c r="S94" s="5" t="n">
        <v>0.3</v>
      </c>
      <c r="T94" s="5" t="n">
        <v>150</v>
      </c>
      <c r="U94" s="5" t="n">
        <v>0</v>
      </c>
      <c r="V94" s="5" t="n">
        <v>150</v>
      </c>
      <c r="W94" s="5" t="n">
        <v>4</v>
      </c>
      <c r="X94" s="5" t="n">
        <v>120</v>
      </c>
      <c r="Y94" s="5" t="n">
        <v>3</v>
      </c>
      <c r="Z94" s="5" t="n">
        <v>900</v>
      </c>
      <c r="AA94" s="7" t="n">
        <v>1</v>
      </c>
    </row>
    <row r="95" customFormat="false" ht="26.25" hidden="false" customHeight="true" outlineLevel="0" collapsed="false">
      <c r="A95" s="4" t="s">
        <v>123</v>
      </c>
      <c r="B95" s="4" t="s">
        <v>28</v>
      </c>
      <c r="C95" s="5" t="n">
        <v>1.1</v>
      </c>
      <c r="D95" s="5"/>
      <c r="E95" s="4" t="s">
        <v>29</v>
      </c>
      <c r="F95" s="6" t="s">
        <v>28</v>
      </c>
      <c r="G95" s="5" t="n">
        <v>180</v>
      </c>
      <c r="H95" s="5" t="n">
        <v>9</v>
      </c>
      <c r="I95" s="5" t="n">
        <v>15</v>
      </c>
      <c r="J95" s="5" t="n">
        <v>10</v>
      </c>
      <c r="K95" s="5" t="n">
        <v>0</v>
      </c>
      <c r="L95" s="5" t="n">
        <v>0</v>
      </c>
      <c r="M95" s="5" t="n">
        <v>0</v>
      </c>
      <c r="N95" s="5" t="n">
        <v>0.5</v>
      </c>
      <c r="O95" s="5" t="n">
        <v>3</v>
      </c>
      <c r="P95" s="5" t="n">
        <v>0.1</v>
      </c>
      <c r="Q95" s="5" t="n">
        <v>0.1</v>
      </c>
      <c r="R95" s="5" t="n">
        <v>1.5</v>
      </c>
      <c r="S95" s="5" t="n">
        <v>0.15</v>
      </c>
      <c r="T95" s="5" t="n">
        <v>30</v>
      </c>
      <c r="U95" s="5" t="n">
        <v>0</v>
      </c>
      <c r="V95" s="5" t="n">
        <v>60</v>
      </c>
      <c r="W95" s="5" t="n">
        <v>2</v>
      </c>
      <c r="X95" s="5" t="n">
        <v>30</v>
      </c>
      <c r="Y95" s="5" t="n">
        <v>1.2</v>
      </c>
      <c r="Z95" s="5" t="n">
        <v>300</v>
      </c>
      <c r="AA95" s="7" t="n">
        <v>0.5</v>
      </c>
    </row>
    <row r="96" customFormat="false" ht="26.25" hidden="false" customHeight="true" outlineLevel="0" collapsed="false">
      <c r="A96" s="4" t="s">
        <v>124</v>
      </c>
      <c r="B96" s="4" t="s">
        <v>28</v>
      </c>
      <c r="C96" s="5" t="n">
        <v>1.8</v>
      </c>
      <c r="D96" s="5"/>
      <c r="E96" s="4" t="s">
        <v>29</v>
      </c>
      <c r="F96" s="6" t="s">
        <v>28</v>
      </c>
      <c r="G96" s="5" t="n">
        <v>170</v>
      </c>
      <c r="H96" s="5" t="n">
        <v>8</v>
      </c>
      <c r="I96" s="5" t="n">
        <v>16</v>
      </c>
      <c r="J96" s="5" t="n">
        <v>10</v>
      </c>
      <c r="K96" s="5" t="n">
        <v>5</v>
      </c>
      <c r="L96" s="5" t="n">
        <v>3</v>
      </c>
      <c r="M96" s="5" t="n">
        <v>0</v>
      </c>
      <c r="N96" s="5" t="n">
        <v>0.5</v>
      </c>
      <c r="O96" s="5" t="n">
        <v>5</v>
      </c>
      <c r="P96" s="5" t="n">
        <v>0.1</v>
      </c>
      <c r="Q96" s="5" t="n">
        <v>0.1</v>
      </c>
      <c r="R96" s="5" t="n">
        <v>1.5</v>
      </c>
      <c r="S96" s="5" t="n">
        <v>0.15</v>
      </c>
      <c r="T96" s="5" t="n">
        <v>30</v>
      </c>
      <c r="U96" s="5" t="n">
        <v>0</v>
      </c>
      <c r="V96" s="5" t="n">
        <v>40</v>
      </c>
      <c r="W96" s="5" t="n">
        <v>2</v>
      </c>
      <c r="X96" s="5" t="n">
        <v>30</v>
      </c>
      <c r="Y96" s="5" t="n">
        <v>1.2</v>
      </c>
      <c r="Z96" s="5" t="n">
        <v>280</v>
      </c>
      <c r="AA96" s="7" t="n">
        <v>0.5</v>
      </c>
    </row>
    <row r="97" customFormat="false" ht="26.25" hidden="false" customHeight="true" outlineLevel="0" collapsed="false">
      <c r="A97" s="4" t="s">
        <v>125</v>
      </c>
      <c r="B97" s="4" t="s">
        <v>28</v>
      </c>
      <c r="C97" s="5" t="n">
        <v>1.3</v>
      </c>
      <c r="D97" s="5"/>
      <c r="E97" s="4" t="s">
        <v>29</v>
      </c>
      <c r="F97" s="6" t="s">
        <v>28</v>
      </c>
      <c r="G97" s="5" t="n">
        <v>220</v>
      </c>
      <c r="H97" s="5" t="n">
        <v>12</v>
      </c>
      <c r="I97" s="5" t="n">
        <v>7</v>
      </c>
      <c r="J97" s="5" t="n">
        <v>20</v>
      </c>
      <c r="K97" s="5" t="n">
        <v>50</v>
      </c>
      <c r="L97" s="5" t="n">
        <v>5</v>
      </c>
      <c r="M97" s="5" t="n">
        <v>0</v>
      </c>
      <c r="N97" s="5" t="n">
        <v>0.5</v>
      </c>
      <c r="O97" s="5" t="n">
        <v>5</v>
      </c>
      <c r="P97" s="5" t="n">
        <v>0.1</v>
      </c>
      <c r="Q97" s="5" t="n">
        <v>0.08</v>
      </c>
      <c r="R97" s="5" t="n">
        <v>1.2</v>
      </c>
      <c r="S97" s="5" t="n">
        <v>0.1</v>
      </c>
      <c r="T97" s="5" t="n">
        <v>25</v>
      </c>
      <c r="U97" s="5" t="n">
        <v>0</v>
      </c>
      <c r="V97" s="5" t="n">
        <v>40</v>
      </c>
      <c r="W97" s="5" t="n">
        <v>1.2</v>
      </c>
      <c r="X97" s="5" t="n">
        <v>25</v>
      </c>
      <c r="Y97" s="5" t="n">
        <v>0.7</v>
      </c>
      <c r="Z97" s="5" t="n">
        <v>250</v>
      </c>
      <c r="AA97" s="7" t="n">
        <v>2</v>
      </c>
    </row>
    <row r="98" customFormat="false" ht="26.25" hidden="false" customHeight="true" outlineLevel="0" collapsed="false">
      <c r="A98" s="4" t="s">
        <v>126</v>
      </c>
      <c r="B98" s="4" t="s">
        <v>28</v>
      </c>
      <c r="C98" s="5" t="n">
        <v>1.7</v>
      </c>
      <c r="D98" s="5"/>
      <c r="E98" s="4" t="s">
        <v>29</v>
      </c>
      <c r="F98" s="6" t="s">
        <v>28</v>
      </c>
      <c r="G98" s="5" t="n">
        <v>200</v>
      </c>
      <c r="H98" s="5" t="n">
        <v>14</v>
      </c>
      <c r="I98" s="5" t="n">
        <v>14</v>
      </c>
      <c r="J98" s="5" t="n">
        <v>5</v>
      </c>
      <c r="K98" s="5" t="n">
        <v>0</v>
      </c>
      <c r="L98" s="5" t="n">
        <v>0</v>
      </c>
      <c r="M98" s="5" t="n">
        <v>0</v>
      </c>
      <c r="N98" s="5" t="n">
        <v>0.5</v>
      </c>
      <c r="O98" s="5" t="n">
        <v>3</v>
      </c>
      <c r="P98" s="5" t="n">
        <v>0.1</v>
      </c>
      <c r="Q98" s="5" t="n">
        <v>0.1</v>
      </c>
      <c r="R98" s="5" t="n">
        <v>1.5</v>
      </c>
      <c r="S98" s="5" t="n">
        <v>0.15</v>
      </c>
      <c r="T98" s="5" t="n">
        <v>30</v>
      </c>
      <c r="U98" s="5" t="n">
        <v>0</v>
      </c>
      <c r="V98" s="5" t="n">
        <v>40</v>
      </c>
      <c r="W98" s="5" t="n">
        <v>2</v>
      </c>
      <c r="X98" s="5" t="n">
        <v>25</v>
      </c>
      <c r="Y98" s="5" t="n">
        <v>1</v>
      </c>
      <c r="Z98" s="5" t="n">
        <v>250</v>
      </c>
      <c r="AA98" s="7" t="n">
        <v>0.2</v>
      </c>
    </row>
    <row r="99" customFormat="false" ht="26.25" hidden="false" customHeight="true" outlineLevel="0" collapsed="false">
      <c r="A99" s="4" t="s">
        <v>127</v>
      </c>
      <c r="B99" s="4" t="s">
        <v>28</v>
      </c>
      <c r="C99" s="5" t="n">
        <v>2</v>
      </c>
      <c r="D99" s="5"/>
      <c r="E99" s="4" t="s">
        <v>29</v>
      </c>
      <c r="F99" s="6" t="s">
        <v>28</v>
      </c>
      <c r="G99" s="5" t="n">
        <v>300</v>
      </c>
      <c r="H99" s="5" t="n">
        <v>25</v>
      </c>
      <c r="I99" s="5" t="n">
        <v>3</v>
      </c>
      <c r="J99" s="5" t="n">
        <v>10</v>
      </c>
      <c r="K99" s="5" t="n">
        <v>0</v>
      </c>
      <c r="L99" s="5" t="n">
        <v>0</v>
      </c>
      <c r="M99" s="5" t="n">
        <v>0</v>
      </c>
      <c r="N99" s="5" t="n">
        <v>0.2</v>
      </c>
      <c r="O99" s="5" t="n">
        <v>0</v>
      </c>
      <c r="P99" s="5" t="n">
        <v>0.02</v>
      </c>
      <c r="Q99" s="5" t="n">
        <v>0.05</v>
      </c>
      <c r="R99" s="5" t="n">
        <v>0.2</v>
      </c>
      <c r="S99" s="5" t="n">
        <v>0.02</v>
      </c>
      <c r="T99" s="5" t="n">
        <v>5</v>
      </c>
      <c r="U99" s="5" t="n">
        <v>0</v>
      </c>
      <c r="V99" s="5" t="n">
        <v>100</v>
      </c>
      <c r="W99" s="5" t="n">
        <v>0.5</v>
      </c>
      <c r="X99" s="5" t="n">
        <v>10</v>
      </c>
      <c r="Y99" s="5" t="n">
        <v>0.3</v>
      </c>
      <c r="Z99" s="5" t="n">
        <v>50</v>
      </c>
      <c r="AA99" s="7" t="n">
        <v>0.2</v>
      </c>
    </row>
    <row r="100" customFormat="false" ht="26.25" hidden="false" customHeight="true" outlineLevel="0" collapsed="false">
      <c r="A100" s="4" t="s">
        <v>128</v>
      </c>
      <c r="B100" s="4" t="s">
        <v>28</v>
      </c>
      <c r="C100" s="5" t="n">
        <v>0.6</v>
      </c>
      <c r="D100" s="5"/>
      <c r="E100" s="4" t="s">
        <v>29</v>
      </c>
      <c r="F100" s="6" t="s">
        <v>28</v>
      </c>
      <c r="G100" s="5" t="n">
        <v>55</v>
      </c>
      <c r="H100" s="5" t="n">
        <v>2.5</v>
      </c>
      <c r="I100" s="5" t="n">
        <v>3.5</v>
      </c>
      <c r="J100" s="5" t="n">
        <v>3</v>
      </c>
      <c r="K100" s="5" t="n">
        <v>0</v>
      </c>
      <c r="L100" s="5" t="n">
        <v>0</v>
      </c>
      <c r="M100" s="5" t="n">
        <v>0</v>
      </c>
      <c r="N100" s="5" t="n">
        <v>0.3</v>
      </c>
      <c r="O100" s="5" t="n">
        <v>3</v>
      </c>
      <c r="P100" s="5" t="n">
        <v>0.05</v>
      </c>
      <c r="Q100" s="5" t="n">
        <v>0.03</v>
      </c>
      <c r="R100" s="5" t="n">
        <v>0.3</v>
      </c>
      <c r="S100" s="5" t="n">
        <v>0.05</v>
      </c>
      <c r="T100" s="5" t="n">
        <v>10</v>
      </c>
      <c r="U100" s="5" t="n">
        <v>0</v>
      </c>
      <c r="V100" s="5" t="n">
        <v>30</v>
      </c>
      <c r="W100" s="5" t="n">
        <v>0.5</v>
      </c>
      <c r="X100" s="5" t="n">
        <v>15</v>
      </c>
      <c r="Y100" s="5" t="n">
        <v>0.3</v>
      </c>
      <c r="Z100" s="5" t="n">
        <v>120</v>
      </c>
      <c r="AA100" s="7" t="n">
        <v>0.9</v>
      </c>
    </row>
    <row r="101" customFormat="false" ht="26.25" hidden="false" customHeight="true" outlineLevel="0" collapsed="false">
      <c r="A101" s="4" t="s">
        <v>129</v>
      </c>
      <c r="B101" s="4" t="s">
        <v>28</v>
      </c>
      <c r="C101" s="5" t="n">
        <v>0.7</v>
      </c>
      <c r="D101" s="5"/>
      <c r="E101" s="4" t="s">
        <v>29</v>
      </c>
      <c r="F101" s="6" t="s">
        <v>28</v>
      </c>
      <c r="G101" s="5" t="n">
        <v>90</v>
      </c>
      <c r="H101" s="5" t="n">
        <v>4.5</v>
      </c>
      <c r="I101" s="5" t="n">
        <v>8</v>
      </c>
      <c r="J101" s="5" t="n">
        <v>3</v>
      </c>
      <c r="K101" s="5" t="n">
        <v>0</v>
      </c>
      <c r="L101" s="5" t="n">
        <v>0</v>
      </c>
      <c r="M101" s="5" t="n">
        <v>0</v>
      </c>
      <c r="N101" s="5" t="n">
        <v>0.3</v>
      </c>
      <c r="O101" s="5" t="n">
        <v>3</v>
      </c>
      <c r="P101" s="5" t="n">
        <v>0.05</v>
      </c>
      <c r="Q101" s="5" t="n">
        <v>0.03</v>
      </c>
      <c r="R101" s="5" t="n">
        <v>0.3</v>
      </c>
      <c r="S101" s="5" t="n">
        <v>0.05</v>
      </c>
      <c r="T101" s="5" t="n">
        <v>10</v>
      </c>
      <c r="U101" s="5" t="n">
        <v>0</v>
      </c>
      <c r="V101" s="5" t="n">
        <v>80</v>
      </c>
      <c r="W101" s="5" t="n">
        <v>1</v>
      </c>
      <c r="X101" s="5" t="n">
        <v>25</v>
      </c>
      <c r="Y101" s="5" t="n">
        <v>0.5</v>
      </c>
      <c r="Z101" s="5" t="n">
        <v>150</v>
      </c>
      <c r="AA101" s="7" t="n">
        <v>0.6</v>
      </c>
    </row>
    <row r="102" customFormat="false" ht="26.25" hidden="false" customHeight="true" outlineLevel="0" collapsed="false">
      <c r="A102" s="4" t="s">
        <v>130</v>
      </c>
      <c r="B102" s="4" t="s">
        <v>28</v>
      </c>
      <c r="C102" s="5" t="n">
        <v>0.6</v>
      </c>
      <c r="D102" s="5"/>
      <c r="E102" s="4" t="s">
        <v>29</v>
      </c>
      <c r="F102" s="6" t="s">
        <v>28</v>
      </c>
      <c r="G102" s="5" t="n">
        <v>200</v>
      </c>
      <c r="H102" s="5" t="n">
        <v>18</v>
      </c>
      <c r="I102" s="5" t="n">
        <v>1</v>
      </c>
      <c r="J102" s="5" t="n">
        <v>7</v>
      </c>
      <c r="K102" s="5" t="n">
        <v>0</v>
      </c>
      <c r="L102" s="5" t="n">
        <v>0</v>
      </c>
      <c r="M102" s="5" t="n">
        <v>0</v>
      </c>
      <c r="N102" s="5" t="n">
        <v>0.5</v>
      </c>
      <c r="O102" s="5" t="n">
        <v>3</v>
      </c>
      <c r="P102" s="5" t="n">
        <v>0.05</v>
      </c>
      <c r="Q102" s="5" t="n">
        <v>0.03</v>
      </c>
      <c r="R102" s="5" t="n">
        <v>0.2</v>
      </c>
      <c r="S102" s="5" t="n">
        <v>0.05</v>
      </c>
      <c r="T102" s="5" t="n">
        <v>5</v>
      </c>
      <c r="U102" s="5" t="n">
        <v>0</v>
      </c>
      <c r="V102" s="5" t="n">
        <v>20</v>
      </c>
      <c r="W102" s="5" t="n">
        <v>0.3</v>
      </c>
      <c r="X102" s="5" t="n">
        <v>10</v>
      </c>
      <c r="Y102" s="5" t="n">
        <v>0.1</v>
      </c>
      <c r="Z102" s="5" t="n">
        <v>80</v>
      </c>
      <c r="AA102" s="7" t="n">
        <v>1.4</v>
      </c>
    </row>
    <row r="103" customFormat="false" ht="26.25" hidden="false" customHeight="true" outlineLevel="0" collapsed="false">
      <c r="A103" s="4" t="s">
        <v>131</v>
      </c>
      <c r="B103" s="4" t="s">
        <v>28</v>
      </c>
      <c r="C103" s="5" t="n">
        <v>0.3</v>
      </c>
      <c r="D103" s="5"/>
      <c r="E103" s="4" t="s">
        <v>29</v>
      </c>
      <c r="F103" s="6" t="s">
        <v>28</v>
      </c>
      <c r="G103" s="5" t="n">
        <v>48</v>
      </c>
      <c r="H103" s="5" t="n">
        <v>1.5</v>
      </c>
      <c r="I103" s="5" t="n">
        <v>0.5</v>
      </c>
      <c r="J103" s="5" t="n">
        <v>8</v>
      </c>
      <c r="K103" s="5" t="n">
        <v>0</v>
      </c>
      <c r="L103" s="5" t="n">
        <v>0</v>
      </c>
      <c r="M103" s="5" t="n">
        <v>0</v>
      </c>
      <c r="N103" s="5" t="n">
        <v>0.2</v>
      </c>
      <c r="O103" s="5" t="n">
        <v>1</v>
      </c>
      <c r="P103" s="5" t="n">
        <v>0.02</v>
      </c>
      <c r="Q103" s="5" t="n">
        <v>0.02</v>
      </c>
      <c r="R103" s="5" t="n">
        <v>0.2</v>
      </c>
      <c r="S103" s="5" t="n">
        <v>0.03</v>
      </c>
      <c r="T103" s="5" t="n">
        <v>3</v>
      </c>
      <c r="U103" s="5" t="n">
        <v>0</v>
      </c>
      <c r="V103" s="5" t="n">
        <v>15</v>
      </c>
      <c r="W103" s="5" t="n">
        <v>0.3</v>
      </c>
      <c r="X103" s="5" t="n">
        <v>8</v>
      </c>
      <c r="Y103" s="5" t="n">
        <v>0.1</v>
      </c>
      <c r="Z103" s="5" t="n">
        <v>60</v>
      </c>
      <c r="AA103" s="7" t="n">
        <v>2.4</v>
      </c>
    </row>
    <row r="104" customFormat="false" ht="26.25" hidden="false" customHeight="true" outlineLevel="0" collapsed="false">
      <c r="A104" s="4" t="s">
        <v>132</v>
      </c>
      <c r="B104" s="4" t="s">
        <v>28</v>
      </c>
      <c r="C104" s="5" t="n">
        <v>0.3</v>
      </c>
      <c r="D104" s="5"/>
      <c r="E104" s="4" t="s">
        <v>29</v>
      </c>
      <c r="F104" s="6" t="s">
        <v>28</v>
      </c>
      <c r="G104" s="5" t="n">
        <v>25</v>
      </c>
      <c r="H104" s="5" t="n">
        <v>1.5</v>
      </c>
      <c r="I104" s="5" t="n">
        <v>0.5</v>
      </c>
      <c r="J104" s="5" t="n">
        <v>2.5</v>
      </c>
      <c r="K104" s="5" t="n">
        <v>0</v>
      </c>
      <c r="L104" s="5" t="n">
        <v>0</v>
      </c>
      <c r="M104" s="5" t="n">
        <v>0</v>
      </c>
      <c r="N104" s="5" t="n">
        <v>2</v>
      </c>
      <c r="O104" s="5" t="n">
        <v>1</v>
      </c>
      <c r="P104" s="5" t="n">
        <v>0.01</v>
      </c>
      <c r="Q104" s="5" t="n">
        <v>0.05</v>
      </c>
      <c r="R104" s="5" t="n">
        <v>0.2</v>
      </c>
      <c r="S104" s="5" t="n">
        <v>0.01</v>
      </c>
      <c r="T104" s="5" t="n">
        <v>2</v>
      </c>
      <c r="U104" s="5" t="n">
        <v>0</v>
      </c>
      <c r="V104" s="5" t="n">
        <v>15</v>
      </c>
      <c r="W104" s="5" t="n">
        <v>0.2</v>
      </c>
      <c r="X104" s="5" t="n">
        <v>8</v>
      </c>
      <c r="Y104" s="5" t="n">
        <v>0.1</v>
      </c>
      <c r="Z104" s="5" t="n">
        <v>50</v>
      </c>
      <c r="AA104" s="7" t="n">
        <v>0.8</v>
      </c>
    </row>
    <row r="105" customFormat="false" ht="26.25" hidden="false" customHeight="true" outlineLevel="0" collapsed="false">
      <c r="A105" s="4" t="s">
        <v>133</v>
      </c>
      <c r="B105" s="4" t="s">
        <v>28</v>
      </c>
      <c r="C105" s="5" t="n">
        <v>0.4</v>
      </c>
      <c r="D105" s="5"/>
      <c r="E105" s="4" t="s">
        <v>29</v>
      </c>
      <c r="F105" s="6" t="s">
        <v>28</v>
      </c>
      <c r="G105" s="5" t="n">
        <v>40</v>
      </c>
      <c r="H105" s="5" t="n">
        <v>2</v>
      </c>
      <c r="I105" s="5" t="n">
        <v>3.3</v>
      </c>
      <c r="J105" s="5" t="n">
        <v>1</v>
      </c>
      <c r="K105" s="5" t="n">
        <v>0</v>
      </c>
      <c r="L105" s="5" t="n">
        <v>0</v>
      </c>
      <c r="M105" s="5" t="n">
        <v>0</v>
      </c>
      <c r="N105" s="5" t="n">
        <v>0.5</v>
      </c>
      <c r="O105" s="5" t="n">
        <v>3</v>
      </c>
      <c r="P105" s="5" t="n">
        <v>0.03</v>
      </c>
      <c r="Q105" s="5" t="n">
        <v>0.02</v>
      </c>
      <c r="R105" s="5" t="n">
        <v>0.2</v>
      </c>
      <c r="S105" s="5" t="n">
        <v>0.05</v>
      </c>
      <c r="T105" s="5" t="n">
        <v>3</v>
      </c>
      <c r="U105" s="5" t="n">
        <v>0</v>
      </c>
      <c r="V105" s="5" t="n">
        <v>13</v>
      </c>
      <c r="W105" s="5" t="n">
        <v>0.6</v>
      </c>
      <c r="X105" s="5" t="n">
        <v>19</v>
      </c>
      <c r="Y105" s="5" t="n">
        <v>0.3</v>
      </c>
      <c r="Z105" s="5" t="n">
        <v>150</v>
      </c>
      <c r="AA105" s="7" t="n">
        <v>0.3</v>
      </c>
    </row>
    <row r="106" customFormat="false" ht="26.25" hidden="false" customHeight="true" outlineLevel="0" collapsed="false">
      <c r="A106" s="4" t="s">
        <v>134</v>
      </c>
      <c r="B106" s="4" t="s">
        <v>28</v>
      </c>
      <c r="C106" s="5" t="n">
        <v>0.3</v>
      </c>
      <c r="D106" s="5"/>
      <c r="E106" s="4" t="s">
        <v>29</v>
      </c>
      <c r="F106" s="6" t="s">
        <v>28</v>
      </c>
      <c r="G106" s="5" t="n">
        <v>45</v>
      </c>
      <c r="H106" s="5" t="n">
        <v>1.5</v>
      </c>
      <c r="I106" s="5" t="n">
        <v>0.5</v>
      </c>
      <c r="J106" s="5" t="n">
        <v>7</v>
      </c>
      <c r="K106" s="5" t="n">
        <v>0</v>
      </c>
      <c r="L106" s="5" t="n">
        <v>0</v>
      </c>
      <c r="M106" s="5" t="n">
        <v>0</v>
      </c>
      <c r="N106" s="5" t="n">
        <v>0.2</v>
      </c>
      <c r="O106" s="5" t="n">
        <v>1</v>
      </c>
      <c r="P106" s="5" t="n">
        <v>0.02</v>
      </c>
      <c r="Q106" s="5" t="n">
        <v>0.02</v>
      </c>
      <c r="R106" s="5" t="n">
        <v>0.2</v>
      </c>
      <c r="S106" s="5" t="n">
        <v>0.03</v>
      </c>
      <c r="T106" s="5" t="n">
        <v>3</v>
      </c>
      <c r="U106" s="5" t="n">
        <v>0</v>
      </c>
      <c r="V106" s="5" t="n">
        <v>15</v>
      </c>
      <c r="W106" s="5" t="n">
        <v>0.3</v>
      </c>
      <c r="X106" s="5" t="n">
        <v>8</v>
      </c>
      <c r="Y106" s="5" t="n">
        <v>0.1</v>
      </c>
      <c r="Z106" s="5" t="n">
        <v>60</v>
      </c>
      <c r="AA106" s="7" t="n">
        <v>2.1</v>
      </c>
    </row>
    <row r="107" customFormat="false" ht="26.25" hidden="false" customHeight="true" outlineLevel="0" collapsed="false">
      <c r="A107" s="4" t="s">
        <v>135</v>
      </c>
      <c r="B107" s="4" t="s">
        <v>28</v>
      </c>
      <c r="C107" s="5" t="n">
        <v>0.9</v>
      </c>
      <c r="D107" s="5"/>
      <c r="E107" s="4" t="s">
        <v>29</v>
      </c>
      <c r="F107" s="6" t="s">
        <v>28</v>
      </c>
      <c r="G107" s="5" t="n">
        <v>650</v>
      </c>
      <c r="H107" s="5" t="n">
        <v>65</v>
      </c>
      <c r="I107" s="5" t="n">
        <v>15</v>
      </c>
      <c r="J107" s="5" t="n">
        <v>14</v>
      </c>
      <c r="K107" s="5" t="n">
        <v>1</v>
      </c>
      <c r="L107" s="5" t="n">
        <v>1.3</v>
      </c>
      <c r="M107" s="5" t="n">
        <v>0</v>
      </c>
      <c r="N107" s="5" t="n">
        <v>0.7</v>
      </c>
      <c r="O107" s="5" t="n">
        <v>2.7</v>
      </c>
      <c r="P107" s="5" t="n">
        <v>0.34</v>
      </c>
      <c r="Q107" s="5" t="n">
        <v>0.15</v>
      </c>
      <c r="R107" s="5" t="n">
        <v>1.1</v>
      </c>
      <c r="S107" s="5" t="n">
        <v>0.54</v>
      </c>
      <c r="T107" s="5" t="n">
        <v>98</v>
      </c>
      <c r="U107" s="5" t="n">
        <v>0</v>
      </c>
      <c r="V107" s="5" t="n">
        <v>98</v>
      </c>
      <c r="W107" s="5" t="n">
        <v>2.9</v>
      </c>
      <c r="X107" s="5" t="n">
        <v>158</v>
      </c>
      <c r="Y107" s="5" t="n">
        <v>3.1</v>
      </c>
      <c r="Z107" s="5" t="n">
        <v>441</v>
      </c>
      <c r="AA107" s="7" t="n">
        <v>1.1</v>
      </c>
    </row>
    <row r="108" customFormat="false" ht="26.25" hidden="false" customHeight="true" outlineLevel="0" collapsed="false">
      <c r="A108" s="4" t="s">
        <v>136</v>
      </c>
      <c r="B108" s="4" t="s">
        <v>28</v>
      </c>
      <c r="C108" s="5" t="n">
        <v>0.8</v>
      </c>
      <c r="D108" s="5"/>
      <c r="E108" s="4" t="s">
        <v>29</v>
      </c>
      <c r="F108" s="6" t="s">
        <v>28</v>
      </c>
      <c r="G108" s="5" t="n">
        <v>570</v>
      </c>
      <c r="H108" s="5" t="n">
        <v>49</v>
      </c>
      <c r="I108" s="5" t="n">
        <v>26</v>
      </c>
      <c r="J108" s="5" t="n">
        <v>16</v>
      </c>
      <c r="K108" s="5" t="n">
        <v>0</v>
      </c>
      <c r="L108" s="5" t="n">
        <v>0</v>
      </c>
      <c r="M108" s="5" t="n">
        <v>0</v>
      </c>
      <c r="N108" s="5" t="n">
        <v>8</v>
      </c>
      <c r="O108" s="5" t="n">
        <v>0</v>
      </c>
      <c r="P108" s="5" t="n">
        <v>0.6</v>
      </c>
      <c r="Q108" s="5" t="n">
        <v>0.1</v>
      </c>
      <c r="R108" s="5" t="n">
        <v>12</v>
      </c>
      <c r="S108" s="5" t="n">
        <v>0.35</v>
      </c>
      <c r="T108" s="5" t="n">
        <v>240</v>
      </c>
      <c r="U108" s="5" t="n">
        <v>0</v>
      </c>
      <c r="V108" s="5" t="n">
        <v>92</v>
      </c>
      <c r="W108" s="5" t="n">
        <v>4.6</v>
      </c>
      <c r="X108" s="5" t="n">
        <v>168</v>
      </c>
      <c r="Y108" s="5" t="n">
        <v>3.3</v>
      </c>
      <c r="Z108" s="5" t="n">
        <v>700</v>
      </c>
      <c r="AA108" s="7" t="n">
        <v>1.3</v>
      </c>
    </row>
    <row r="109" customFormat="false" ht="26.25" hidden="false" customHeight="true" outlineLevel="0" collapsed="false">
      <c r="A109" s="4" t="s">
        <v>137</v>
      </c>
      <c r="B109" s="4" t="s">
        <v>28</v>
      </c>
      <c r="C109" s="5" t="n">
        <v>2</v>
      </c>
      <c r="D109" s="5"/>
      <c r="E109" s="4" t="s">
        <v>29</v>
      </c>
      <c r="F109" s="6" t="s">
        <v>28</v>
      </c>
      <c r="G109" s="5" t="n">
        <v>590</v>
      </c>
      <c r="H109" s="5" t="n">
        <v>50</v>
      </c>
      <c r="I109" s="5" t="n">
        <v>25</v>
      </c>
      <c r="J109" s="5" t="n">
        <v>20</v>
      </c>
      <c r="K109" s="5" t="n">
        <v>0</v>
      </c>
      <c r="L109" s="5" t="n">
        <v>0</v>
      </c>
      <c r="M109" s="5" t="n">
        <v>0</v>
      </c>
      <c r="N109" s="5" t="n">
        <v>5</v>
      </c>
      <c r="O109" s="5" t="n">
        <v>0</v>
      </c>
      <c r="P109" s="5" t="n">
        <v>0.15</v>
      </c>
      <c r="Q109" s="5" t="n">
        <v>0.1</v>
      </c>
      <c r="R109" s="5" t="n">
        <v>13</v>
      </c>
      <c r="S109" s="5" t="n">
        <v>0.5</v>
      </c>
      <c r="T109" s="5" t="n">
        <v>90</v>
      </c>
      <c r="U109" s="5" t="n">
        <v>0</v>
      </c>
      <c r="V109" s="5" t="n">
        <v>50</v>
      </c>
      <c r="W109" s="5" t="n">
        <v>2</v>
      </c>
      <c r="X109" s="5" t="n">
        <v>160</v>
      </c>
      <c r="Y109" s="5" t="n">
        <v>2.9</v>
      </c>
      <c r="Z109" s="5" t="n">
        <v>650</v>
      </c>
      <c r="AA109" s="7" t="n">
        <v>0.4</v>
      </c>
    </row>
    <row r="110" customFormat="false" ht="26.25" hidden="false" customHeight="true" outlineLevel="0" collapsed="false">
      <c r="A110" s="4" t="s">
        <v>138</v>
      </c>
      <c r="B110" s="4" t="s">
        <v>28</v>
      </c>
      <c r="C110" s="5" t="n">
        <v>1.5</v>
      </c>
      <c r="D110" s="5"/>
      <c r="E110" s="4" t="s">
        <v>29</v>
      </c>
      <c r="F110" s="6" t="s">
        <v>28</v>
      </c>
      <c r="G110" s="5" t="n">
        <v>580</v>
      </c>
      <c r="H110" s="5" t="n">
        <v>51</v>
      </c>
      <c r="I110" s="5" t="n">
        <v>21</v>
      </c>
      <c r="J110" s="5" t="n">
        <v>20</v>
      </c>
      <c r="K110" s="5" t="n">
        <v>1</v>
      </c>
      <c r="L110" s="5" t="n">
        <v>1.4</v>
      </c>
      <c r="M110" s="5" t="n">
        <v>0</v>
      </c>
      <c r="N110" s="5" t="n">
        <v>35</v>
      </c>
      <c r="O110" s="5" t="n">
        <v>0</v>
      </c>
      <c r="P110" s="5" t="n">
        <v>1.5</v>
      </c>
      <c r="Q110" s="5" t="n">
        <v>0.25</v>
      </c>
      <c r="R110" s="5" t="n">
        <v>8.3</v>
      </c>
      <c r="S110" s="5" t="n">
        <v>1.3</v>
      </c>
      <c r="T110" s="5" t="n">
        <v>227</v>
      </c>
      <c r="U110" s="5" t="n">
        <v>0</v>
      </c>
      <c r="V110" s="5" t="n">
        <v>78</v>
      </c>
      <c r="W110" s="5" t="n">
        <v>5</v>
      </c>
      <c r="X110" s="5" t="n">
        <v>325</v>
      </c>
      <c r="Y110" s="5" t="n">
        <v>5</v>
      </c>
      <c r="Z110" s="5" t="n">
        <v>645</v>
      </c>
      <c r="AA110" s="7" t="n">
        <v>1</v>
      </c>
    </row>
    <row r="111" customFormat="false" ht="26.25" hidden="false" customHeight="true" outlineLevel="0" collapsed="false">
      <c r="A111" s="4" t="s">
        <v>139</v>
      </c>
      <c r="B111" s="4" t="s">
        <v>28</v>
      </c>
      <c r="C111" s="5" t="n">
        <v>1.4</v>
      </c>
      <c r="D111" s="5"/>
      <c r="E111" s="4" t="s">
        <v>29</v>
      </c>
      <c r="F111" s="6" t="s">
        <v>28</v>
      </c>
      <c r="G111" s="5" t="n">
        <v>534</v>
      </c>
      <c r="H111" s="5" t="n">
        <v>42</v>
      </c>
      <c r="I111" s="5" t="n">
        <v>18</v>
      </c>
      <c r="J111" s="5" t="n">
        <v>29</v>
      </c>
      <c r="K111" s="5" t="n">
        <v>0</v>
      </c>
      <c r="L111" s="5" t="n">
        <v>0.6</v>
      </c>
      <c r="M111" s="5" t="n">
        <v>0</v>
      </c>
      <c r="N111" s="5" t="n">
        <v>0.3</v>
      </c>
      <c r="O111" s="5" t="n">
        <v>0</v>
      </c>
      <c r="P111" s="5" t="n">
        <v>1.6</v>
      </c>
      <c r="Q111" s="5" t="n">
        <v>0.16</v>
      </c>
      <c r="R111" s="5" t="n">
        <v>3.1</v>
      </c>
      <c r="S111" s="5" t="n">
        <v>0.47</v>
      </c>
      <c r="T111" s="5" t="n">
        <v>87</v>
      </c>
      <c r="U111" s="5" t="n">
        <v>0</v>
      </c>
      <c r="V111" s="5" t="n">
        <v>255</v>
      </c>
      <c r="W111" s="5" t="n">
        <v>5.7</v>
      </c>
      <c r="X111" s="5" t="n">
        <v>392</v>
      </c>
      <c r="Y111" s="5" t="n">
        <v>4.3</v>
      </c>
      <c r="Z111" s="5" t="n">
        <v>813</v>
      </c>
      <c r="AA111" s="7" t="n">
        <v>1.5</v>
      </c>
    </row>
    <row r="112" customFormat="false" ht="26.25" hidden="false" customHeight="true" outlineLevel="0" collapsed="false">
      <c r="A112" s="4" t="s">
        <v>140</v>
      </c>
      <c r="B112" s="4" t="s">
        <v>28</v>
      </c>
      <c r="C112" s="5" t="n">
        <v>9.2</v>
      </c>
      <c r="D112" s="5"/>
      <c r="E112" s="4" t="s">
        <v>29</v>
      </c>
      <c r="F112" s="6" t="s">
        <v>28</v>
      </c>
      <c r="G112" s="5" t="n">
        <v>250</v>
      </c>
      <c r="H112" s="5" t="n">
        <v>20</v>
      </c>
      <c r="I112" s="5" t="n">
        <v>17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0.3</v>
      </c>
      <c r="O112" s="5" t="n">
        <v>1.5</v>
      </c>
      <c r="P112" s="5" t="n">
        <v>0.06</v>
      </c>
      <c r="Q112" s="5" t="n">
        <v>0.18</v>
      </c>
      <c r="R112" s="5" t="n">
        <v>4.5</v>
      </c>
      <c r="S112" s="5" t="n">
        <v>0.35</v>
      </c>
      <c r="T112" s="5" t="n">
        <v>7</v>
      </c>
      <c r="U112" s="5" t="n">
        <v>2.2</v>
      </c>
      <c r="V112" s="5" t="n">
        <v>10</v>
      </c>
      <c r="W112" s="5" t="n">
        <v>2.3</v>
      </c>
      <c r="X112" s="5" t="n">
        <v>18</v>
      </c>
      <c r="Y112" s="5" t="n">
        <v>4</v>
      </c>
      <c r="Z112" s="5" t="n">
        <v>300</v>
      </c>
      <c r="AA112" s="7" t="n">
        <v>0</v>
      </c>
    </row>
    <row r="113" customFormat="false" ht="26.25" hidden="false" customHeight="true" outlineLevel="0" collapsed="false">
      <c r="A113" s="4" t="s">
        <v>141</v>
      </c>
      <c r="B113" s="4" t="s">
        <v>28</v>
      </c>
      <c r="C113" s="5" t="n">
        <v>15.1</v>
      </c>
      <c r="D113" s="5"/>
      <c r="E113" s="4" t="s">
        <v>29</v>
      </c>
      <c r="F113" s="6" t="s">
        <v>28</v>
      </c>
      <c r="G113" s="5" t="n">
        <v>250</v>
      </c>
      <c r="H113" s="5" t="n">
        <v>20</v>
      </c>
      <c r="I113" s="5" t="n">
        <v>17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0.3</v>
      </c>
      <c r="O113" s="5" t="n">
        <v>1.5</v>
      </c>
      <c r="P113" s="5" t="n">
        <v>0.06</v>
      </c>
      <c r="Q113" s="5" t="n">
        <v>0.18</v>
      </c>
      <c r="R113" s="5" t="n">
        <v>4.5</v>
      </c>
      <c r="S113" s="5" t="n">
        <v>0.35</v>
      </c>
      <c r="T113" s="5" t="n">
        <v>7</v>
      </c>
      <c r="U113" s="5" t="n">
        <v>2.2</v>
      </c>
      <c r="V113" s="5" t="n">
        <v>10</v>
      </c>
      <c r="W113" s="5" t="n">
        <v>2.3</v>
      </c>
      <c r="X113" s="5" t="n">
        <v>18</v>
      </c>
      <c r="Y113" s="5" t="n">
        <v>4</v>
      </c>
      <c r="Z113" s="5" t="n">
        <v>300</v>
      </c>
      <c r="AA113" s="7" t="n">
        <v>0</v>
      </c>
    </row>
    <row r="114" customFormat="false" ht="26.25" hidden="false" customHeight="true" outlineLevel="0" collapsed="false">
      <c r="A114" s="4" t="s">
        <v>142</v>
      </c>
      <c r="B114" s="4" t="s">
        <v>28</v>
      </c>
      <c r="C114" s="5" t="n">
        <v>21.7</v>
      </c>
      <c r="D114" s="5"/>
      <c r="E114" s="4" t="s">
        <v>29</v>
      </c>
      <c r="F114" s="6" t="s">
        <v>28</v>
      </c>
      <c r="G114" s="5" t="n">
        <v>250</v>
      </c>
      <c r="H114" s="5" t="n">
        <v>15</v>
      </c>
      <c r="I114" s="5" t="n">
        <v>26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0.3</v>
      </c>
      <c r="O114" s="5" t="n">
        <v>1.5</v>
      </c>
      <c r="P114" s="5" t="n">
        <v>0.08</v>
      </c>
      <c r="Q114" s="5" t="n">
        <v>0.2</v>
      </c>
      <c r="R114" s="5" t="n">
        <v>5</v>
      </c>
      <c r="S114" s="5" t="n">
        <v>0.4</v>
      </c>
      <c r="T114" s="5" t="n">
        <v>6</v>
      </c>
      <c r="U114" s="5" t="n">
        <v>2.5</v>
      </c>
      <c r="V114" s="5" t="n">
        <v>12</v>
      </c>
      <c r="W114" s="5" t="n">
        <v>2.5</v>
      </c>
      <c r="X114" s="5" t="n">
        <v>22</v>
      </c>
      <c r="Y114" s="5" t="n">
        <v>4.5</v>
      </c>
      <c r="Z114" s="5" t="n">
        <v>350</v>
      </c>
      <c r="AA114" s="7" t="n">
        <v>0</v>
      </c>
    </row>
    <row r="115" customFormat="false" ht="26.25" hidden="false" customHeight="true" outlineLevel="0" collapsed="false">
      <c r="A115" s="4" t="s">
        <v>143</v>
      </c>
      <c r="B115" s="4" t="s">
        <v>28</v>
      </c>
      <c r="C115" s="5" t="n">
        <v>13.6</v>
      </c>
      <c r="D115" s="5"/>
      <c r="E115" s="4" t="s">
        <v>29</v>
      </c>
      <c r="F115" s="6" t="s">
        <v>28</v>
      </c>
      <c r="G115" s="5" t="n">
        <v>250</v>
      </c>
      <c r="H115" s="5" t="n">
        <v>15</v>
      </c>
      <c r="I115" s="5" t="n">
        <v>26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0.3</v>
      </c>
      <c r="O115" s="5" t="n">
        <v>1.5</v>
      </c>
      <c r="P115" s="5" t="n">
        <v>0.08</v>
      </c>
      <c r="Q115" s="5" t="n">
        <v>0.2</v>
      </c>
      <c r="R115" s="5" t="n">
        <v>5</v>
      </c>
      <c r="S115" s="5" t="n">
        <v>0.4</v>
      </c>
      <c r="T115" s="5" t="n">
        <v>6</v>
      </c>
      <c r="U115" s="5" t="n">
        <v>2.5</v>
      </c>
      <c r="V115" s="5" t="n">
        <v>12</v>
      </c>
      <c r="W115" s="5" t="n">
        <v>2.5</v>
      </c>
      <c r="X115" s="5" t="n">
        <v>22</v>
      </c>
      <c r="Y115" s="5" t="n">
        <v>4.5</v>
      </c>
      <c r="Z115" s="5" t="n">
        <v>350</v>
      </c>
      <c r="AA115" s="7" t="n">
        <v>0</v>
      </c>
    </row>
    <row r="116" customFormat="false" ht="26.25" hidden="false" customHeight="true" outlineLevel="0" collapsed="false">
      <c r="A116" s="4" t="s">
        <v>144</v>
      </c>
      <c r="B116" s="4" t="s">
        <v>28</v>
      </c>
      <c r="C116" s="5" t="n">
        <v>9</v>
      </c>
      <c r="D116" s="5"/>
      <c r="E116" s="4" t="s">
        <v>29</v>
      </c>
      <c r="F116" s="6" t="s">
        <v>28</v>
      </c>
      <c r="G116" s="5" t="n">
        <v>260</v>
      </c>
      <c r="H116" s="5" t="n">
        <v>20</v>
      </c>
      <c r="I116" s="5" t="n">
        <v>18</v>
      </c>
      <c r="J116" s="5" t="n">
        <v>1</v>
      </c>
      <c r="K116" s="5" t="n">
        <v>0</v>
      </c>
      <c r="L116" s="5" t="n">
        <v>0</v>
      </c>
      <c r="M116" s="5" t="n">
        <v>0</v>
      </c>
      <c r="N116" s="5" t="n">
        <v>0.3</v>
      </c>
      <c r="O116" s="5" t="n">
        <v>1.5</v>
      </c>
      <c r="P116" s="5" t="n">
        <v>0.06</v>
      </c>
      <c r="Q116" s="5" t="n">
        <v>0.18</v>
      </c>
      <c r="R116" s="5" t="n">
        <v>4.5</v>
      </c>
      <c r="S116" s="5" t="n">
        <v>0.35</v>
      </c>
      <c r="T116" s="5" t="n">
        <v>7</v>
      </c>
      <c r="U116" s="5" t="n">
        <v>2.2</v>
      </c>
      <c r="V116" s="5" t="n">
        <v>12</v>
      </c>
      <c r="W116" s="5" t="n">
        <v>2.3</v>
      </c>
      <c r="X116" s="5" t="n">
        <v>18</v>
      </c>
      <c r="Y116" s="5" t="n">
        <v>4</v>
      </c>
      <c r="Z116" s="5" t="n">
        <v>290</v>
      </c>
      <c r="AA116" s="7" t="n">
        <v>0.1</v>
      </c>
    </row>
    <row r="117" customFormat="false" ht="26.25" hidden="false" customHeight="true" outlineLevel="0" collapsed="false">
      <c r="A117" s="4" t="s">
        <v>145</v>
      </c>
      <c r="B117" s="4" t="s">
        <v>28</v>
      </c>
      <c r="C117" s="5" t="n">
        <v>7.9</v>
      </c>
      <c r="D117" s="5"/>
      <c r="E117" s="4" t="s">
        <v>29</v>
      </c>
      <c r="F117" s="6" t="s">
        <v>28</v>
      </c>
      <c r="G117" s="5" t="n">
        <v>200</v>
      </c>
      <c r="H117" s="5" t="n">
        <v>14</v>
      </c>
      <c r="I117" s="5" t="n">
        <v>18</v>
      </c>
      <c r="J117" s="5" t="n">
        <v>1</v>
      </c>
      <c r="K117" s="5" t="n">
        <v>0</v>
      </c>
      <c r="L117" s="5" t="n">
        <v>0</v>
      </c>
      <c r="M117" s="5" t="n">
        <v>0</v>
      </c>
      <c r="N117" s="5" t="n">
        <v>0.3</v>
      </c>
      <c r="O117" s="5" t="n">
        <v>1</v>
      </c>
      <c r="P117" s="5" t="n">
        <v>0.1</v>
      </c>
      <c r="Q117" s="5" t="n">
        <v>0.15</v>
      </c>
      <c r="R117" s="5" t="n">
        <v>3</v>
      </c>
      <c r="S117" s="5" t="n">
        <v>0.25</v>
      </c>
      <c r="T117" s="5" t="n">
        <v>5</v>
      </c>
      <c r="U117" s="5" t="n">
        <v>1.8</v>
      </c>
      <c r="V117" s="5" t="n">
        <v>10</v>
      </c>
      <c r="W117" s="5" t="n">
        <v>1.8</v>
      </c>
      <c r="X117" s="5" t="n">
        <v>15</v>
      </c>
      <c r="Y117" s="5" t="n">
        <v>2.5</v>
      </c>
      <c r="Z117" s="5" t="n">
        <v>250</v>
      </c>
      <c r="AA117" s="7" t="n">
        <v>0.1</v>
      </c>
    </row>
    <row r="118" customFormat="false" ht="26.25" hidden="false" customHeight="true" outlineLevel="0" collapsed="false">
      <c r="A118" s="4" t="s">
        <v>146</v>
      </c>
      <c r="B118" s="4" t="s">
        <v>28</v>
      </c>
      <c r="C118" s="5" t="n">
        <v>5.2</v>
      </c>
      <c r="D118" s="5"/>
      <c r="E118" s="4" t="s">
        <v>29</v>
      </c>
      <c r="F118" s="6" t="s">
        <v>28</v>
      </c>
      <c r="G118" s="5" t="n">
        <v>242</v>
      </c>
      <c r="H118" s="5" t="n">
        <v>17</v>
      </c>
      <c r="I118" s="5" t="n">
        <v>21</v>
      </c>
      <c r="J118" s="5" t="n">
        <v>0</v>
      </c>
      <c r="K118" s="5" t="n">
        <v>2</v>
      </c>
      <c r="L118" s="5" t="n">
        <v>0.5</v>
      </c>
      <c r="M118" s="5" t="n">
        <v>1</v>
      </c>
      <c r="N118" s="5" t="n">
        <v>0.3</v>
      </c>
      <c r="O118" s="5" t="n">
        <v>0</v>
      </c>
      <c r="P118" s="5" t="n">
        <v>0.6</v>
      </c>
      <c r="Q118" s="5" t="n">
        <v>0.2</v>
      </c>
      <c r="R118" s="5" t="n">
        <v>5</v>
      </c>
      <c r="S118" s="5" t="n">
        <v>0.5</v>
      </c>
      <c r="T118" s="5" t="n">
        <v>3</v>
      </c>
      <c r="U118" s="5" t="n">
        <v>0.7</v>
      </c>
      <c r="V118" s="5" t="n">
        <v>10</v>
      </c>
      <c r="W118" s="5" t="n">
        <v>0.9</v>
      </c>
      <c r="X118" s="5" t="n">
        <v>20</v>
      </c>
      <c r="Y118" s="5" t="n">
        <v>2</v>
      </c>
      <c r="Z118" s="5" t="n">
        <v>380</v>
      </c>
      <c r="AA118" s="7" t="n">
        <v>0</v>
      </c>
    </row>
    <row r="119" customFormat="false" ht="26.25" hidden="false" customHeight="true" outlineLevel="0" collapsed="false">
      <c r="A119" s="4" t="s">
        <v>147</v>
      </c>
      <c r="B119" s="4" t="s">
        <v>28</v>
      </c>
      <c r="C119" s="5" t="n">
        <v>4.6</v>
      </c>
      <c r="D119" s="5"/>
      <c r="E119" s="4" t="s">
        <v>29</v>
      </c>
      <c r="F119" s="6" t="s">
        <v>28</v>
      </c>
      <c r="G119" s="5" t="n">
        <v>242</v>
      </c>
      <c r="H119" s="5" t="n">
        <v>17</v>
      </c>
      <c r="I119" s="5" t="n">
        <v>21</v>
      </c>
      <c r="J119" s="5" t="n">
        <v>0</v>
      </c>
      <c r="K119" s="5" t="n">
        <v>2</v>
      </c>
      <c r="L119" s="5" t="n">
        <v>0.5</v>
      </c>
      <c r="M119" s="5" t="n">
        <v>1</v>
      </c>
      <c r="N119" s="5" t="n">
        <v>0.3</v>
      </c>
      <c r="O119" s="5" t="n">
        <v>0</v>
      </c>
      <c r="P119" s="5" t="n">
        <v>0.6</v>
      </c>
      <c r="Q119" s="5" t="n">
        <v>0.2</v>
      </c>
      <c r="R119" s="5" t="n">
        <v>5</v>
      </c>
      <c r="S119" s="5" t="n">
        <v>0.5</v>
      </c>
      <c r="T119" s="5" t="n">
        <v>3</v>
      </c>
      <c r="U119" s="5" t="n">
        <v>0.7</v>
      </c>
      <c r="V119" s="5" t="n">
        <v>10</v>
      </c>
      <c r="W119" s="5" t="n">
        <v>0.9</v>
      </c>
      <c r="X119" s="5" t="n">
        <v>20</v>
      </c>
      <c r="Y119" s="5" t="n">
        <v>2</v>
      </c>
      <c r="Z119" s="5" t="n">
        <v>380</v>
      </c>
      <c r="AA119" s="7" t="n">
        <v>0</v>
      </c>
    </row>
    <row r="120" customFormat="false" ht="26.25" hidden="false" customHeight="true" outlineLevel="0" collapsed="false">
      <c r="A120" s="4" t="s">
        <v>148</v>
      </c>
      <c r="B120" s="4" t="s">
        <v>28</v>
      </c>
      <c r="C120" s="5" t="n">
        <v>4.6</v>
      </c>
      <c r="D120" s="5"/>
      <c r="E120" s="4" t="s">
        <v>29</v>
      </c>
      <c r="F120" s="6" t="s">
        <v>28</v>
      </c>
      <c r="G120" s="5" t="n">
        <v>242</v>
      </c>
      <c r="H120" s="5" t="n">
        <v>17</v>
      </c>
      <c r="I120" s="5" t="n">
        <v>21</v>
      </c>
      <c r="J120" s="5" t="n">
        <v>0</v>
      </c>
      <c r="K120" s="5" t="n">
        <v>2</v>
      </c>
      <c r="L120" s="5" t="n">
        <v>0.5</v>
      </c>
      <c r="M120" s="5" t="n">
        <v>1</v>
      </c>
      <c r="N120" s="5" t="n">
        <v>0.3</v>
      </c>
      <c r="O120" s="5" t="n">
        <v>0</v>
      </c>
      <c r="P120" s="5" t="n">
        <v>0.6</v>
      </c>
      <c r="Q120" s="5" t="n">
        <v>0.2</v>
      </c>
      <c r="R120" s="5" t="n">
        <v>5</v>
      </c>
      <c r="S120" s="5" t="n">
        <v>0.5</v>
      </c>
      <c r="T120" s="5" t="n">
        <v>3</v>
      </c>
      <c r="U120" s="5" t="n">
        <v>0.7</v>
      </c>
      <c r="V120" s="5" t="n">
        <v>10</v>
      </c>
      <c r="W120" s="5" t="n">
        <v>0.9</v>
      </c>
      <c r="X120" s="5" t="n">
        <v>20</v>
      </c>
      <c r="Y120" s="5" t="n">
        <v>2</v>
      </c>
      <c r="Z120" s="5" t="n">
        <v>380</v>
      </c>
      <c r="AA120" s="7" t="n">
        <v>0</v>
      </c>
    </row>
    <row r="121" customFormat="false" ht="26.25" hidden="false" customHeight="true" outlineLevel="0" collapsed="false">
      <c r="A121" s="4" t="s">
        <v>149</v>
      </c>
      <c r="B121" s="4" t="s">
        <v>28</v>
      </c>
      <c r="C121" s="5" t="n">
        <v>5.5</v>
      </c>
      <c r="D121" s="5"/>
      <c r="E121" s="4" t="s">
        <v>29</v>
      </c>
      <c r="F121" s="6" t="s">
        <v>28</v>
      </c>
      <c r="G121" s="5" t="n">
        <v>165</v>
      </c>
      <c r="H121" s="5" t="n">
        <v>3.5</v>
      </c>
      <c r="I121" s="5" t="n">
        <v>31</v>
      </c>
      <c r="J121" s="5" t="n">
        <v>0</v>
      </c>
      <c r="K121" s="5" t="n">
        <v>6</v>
      </c>
      <c r="L121" s="5" t="n">
        <v>0</v>
      </c>
      <c r="M121" s="5" t="n">
        <v>0.1</v>
      </c>
      <c r="N121" s="5" t="n">
        <v>0.3</v>
      </c>
      <c r="O121" s="5" t="n">
        <v>0</v>
      </c>
      <c r="P121" s="5" t="n">
        <v>0.07</v>
      </c>
      <c r="Q121" s="5" t="n">
        <v>0.1</v>
      </c>
      <c r="R121" s="5" t="n">
        <v>10</v>
      </c>
      <c r="S121" s="5" t="n">
        <v>0.6</v>
      </c>
      <c r="T121" s="5" t="n">
        <v>4</v>
      </c>
      <c r="U121" s="5" t="n">
        <v>0.3</v>
      </c>
      <c r="V121" s="5" t="n">
        <v>11</v>
      </c>
      <c r="W121" s="5" t="n">
        <v>0.7</v>
      </c>
      <c r="X121" s="5" t="n">
        <v>25</v>
      </c>
      <c r="Y121" s="5" t="n">
        <v>1</v>
      </c>
      <c r="Z121" s="5" t="n">
        <v>250</v>
      </c>
      <c r="AA121" s="7" t="n">
        <v>0</v>
      </c>
    </row>
    <row r="122" customFormat="false" ht="26.25" hidden="false" customHeight="true" outlineLevel="0" collapsed="false">
      <c r="A122" s="4" t="s">
        <v>150</v>
      </c>
      <c r="B122" s="4" t="s">
        <v>28</v>
      </c>
      <c r="C122" s="5" t="n">
        <v>5.7</v>
      </c>
      <c r="D122" s="5"/>
      <c r="E122" s="4" t="s">
        <v>29</v>
      </c>
      <c r="F122" s="6" t="s">
        <v>28</v>
      </c>
      <c r="G122" s="5" t="n">
        <v>165</v>
      </c>
      <c r="H122" s="5" t="n">
        <v>3.5</v>
      </c>
      <c r="I122" s="5" t="n">
        <v>31</v>
      </c>
      <c r="J122" s="5" t="n">
        <v>0</v>
      </c>
      <c r="K122" s="5" t="n">
        <v>6</v>
      </c>
      <c r="L122" s="5" t="n">
        <v>0</v>
      </c>
      <c r="M122" s="5" t="n">
        <v>0.1</v>
      </c>
      <c r="N122" s="5" t="n">
        <v>0.3</v>
      </c>
      <c r="O122" s="5" t="n">
        <v>0</v>
      </c>
      <c r="P122" s="5" t="n">
        <v>0.07</v>
      </c>
      <c r="Q122" s="5" t="n">
        <v>0.1</v>
      </c>
      <c r="R122" s="5" t="n">
        <v>10</v>
      </c>
      <c r="S122" s="5" t="n">
        <v>0.6</v>
      </c>
      <c r="T122" s="5" t="n">
        <v>4</v>
      </c>
      <c r="U122" s="5" t="n">
        <v>0.3</v>
      </c>
      <c r="V122" s="5" t="n">
        <v>11</v>
      </c>
      <c r="W122" s="5" t="n">
        <v>0.7</v>
      </c>
      <c r="X122" s="5" t="n">
        <v>25</v>
      </c>
      <c r="Y122" s="5" t="n">
        <v>1</v>
      </c>
      <c r="Z122" s="5" t="n">
        <v>250</v>
      </c>
      <c r="AA122" s="7" t="n">
        <v>0</v>
      </c>
    </row>
    <row r="123" customFormat="false" ht="26.25" hidden="false" customHeight="true" outlineLevel="0" collapsed="false">
      <c r="A123" s="4" t="s">
        <v>151</v>
      </c>
      <c r="B123" s="4" t="s">
        <v>28</v>
      </c>
      <c r="C123" s="5" t="n">
        <v>3.3</v>
      </c>
      <c r="D123" s="5"/>
      <c r="E123" s="4" t="s">
        <v>29</v>
      </c>
      <c r="F123" s="6" t="s">
        <v>28</v>
      </c>
      <c r="G123" s="5" t="n">
        <v>250</v>
      </c>
      <c r="H123" s="5" t="n">
        <v>15</v>
      </c>
      <c r="I123" s="5" t="n">
        <v>14</v>
      </c>
      <c r="J123" s="5" t="n">
        <v>15</v>
      </c>
      <c r="K123" s="5" t="n">
        <v>5</v>
      </c>
      <c r="L123" s="5" t="n">
        <v>0</v>
      </c>
      <c r="M123" s="5" t="n">
        <v>0.1</v>
      </c>
      <c r="N123" s="5" t="n">
        <v>0.5</v>
      </c>
      <c r="O123" s="5" t="n">
        <v>2</v>
      </c>
      <c r="P123" s="5" t="n">
        <v>0.08</v>
      </c>
      <c r="Q123" s="5" t="n">
        <v>0.1</v>
      </c>
      <c r="R123" s="5" t="n">
        <v>6</v>
      </c>
      <c r="S123" s="5" t="n">
        <v>0.3</v>
      </c>
      <c r="T123" s="5" t="n">
        <v>15</v>
      </c>
      <c r="U123" s="5" t="n">
        <v>0.3</v>
      </c>
      <c r="V123" s="5" t="n">
        <v>20</v>
      </c>
      <c r="W123" s="5" t="n">
        <v>0.8</v>
      </c>
      <c r="X123" s="5" t="n">
        <v>18</v>
      </c>
      <c r="Y123" s="5" t="n">
        <v>0.7</v>
      </c>
      <c r="Z123" s="5" t="n">
        <v>200</v>
      </c>
      <c r="AA123" s="7" t="n">
        <v>0</v>
      </c>
    </row>
    <row r="124" customFormat="false" ht="26.25" hidden="false" customHeight="true" outlineLevel="0" collapsed="false">
      <c r="A124" s="4" t="s">
        <v>152</v>
      </c>
      <c r="B124" s="4" t="s">
        <v>28</v>
      </c>
      <c r="C124" s="5" t="n">
        <v>2.9</v>
      </c>
      <c r="D124" s="5"/>
      <c r="E124" s="4" t="s">
        <v>29</v>
      </c>
      <c r="F124" s="6" t="s">
        <v>28</v>
      </c>
      <c r="G124" s="5" t="n">
        <v>150</v>
      </c>
      <c r="H124" s="5" t="n">
        <v>8</v>
      </c>
      <c r="I124" s="5" t="n">
        <v>18</v>
      </c>
      <c r="J124" s="5" t="n">
        <v>1</v>
      </c>
      <c r="K124" s="5" t="n">
        <v>3</v>
      </c>
      <c r="L124" s="5" t="n">
        <v>0</v>
      </c>
      <c r="M124" s="5" t="n">
        <v>0.1</v>
      </c>
      <c r="N124" s="5" t="n">
        <v>0.3</v>
      </c>
      <c r="O124" s="5" t="n">
        <v>0</v>
      </c>
      <c r="P124" s="5" t="n">
        <v>0.05</v>
      </c>
      <c r="Q124" s="5" t="n">
        <v>0.08</v>
      </c>
      <c r="R124" s="5" t="n">
        <v>5</v>
      </c>
      <c r="S124" s="5" t="n">
        <v>0.3</v>
      </c>
      <c r="T124" s="5" t="n">
        <v>5</v>
      </c>
      <c r="U124" s="5" t="n">
        <v>0.2</v>
      </c>
      <c r="V124" s="5" t="n">
        <v>10</v>
      </c>
      <c r="W124" s="5" t="n">
        <v>0.5</v>
      </c>
      <c r="X124" s="5" t="n">
        <v>15</v>
      </c>
      <c r="Y124" s="5" t="n">
        <v>0.6</v>
      </c>
      <c r="Z124" s="5" t="n">
        <v>200</v>
      </c>
      <c r="AA124" s="7" t="n">
        <v>0</v>
      </c>
    </row>
    <row r="125" customFormat="false" ht="26.25" hidden="false" customHeight="true" outlineLevel="0" collapsed="false">
      <c r="A125" s="4" t="s">
        <v>153</v>
      </c>
      <c r="B125" s="4" t="s">
        <v>28</v>
      </c>
      <c r="C125" s="5" t="n">
        <v>2.9</v>
      </c>
      <c r="D125" s="5"/>
      <c r="E125" s="4" t="s">
        <v>29</v>
      </c>
      <c r="F125" s="6" t="s">
        <v>28</v>
      </c>
      <c r="G125" s="5" t="n">
        <v>280</v>
      </c>
      <c r="H125" s="5" t="n">
        <v>24</v>
      </c>
      <c r="I125" s="5" t="n">
        <v>13</v>
      </c>
      <c r="J125" s="5" t="n">
        <v>1</v>
      </c>
      <c r="K125" s="5" t="n">
        <v>0</v>
      </c>
      <c r="L125" s="5" t="n">
        <v>0</v>
      </c>
      <c r="M125" s="5" t="n">
        <v>0.3</v>
      </c>
      <c r="N125" s="5" t="n">
        <v>0.3</v>
      </c>
      <c r="O125" s="5" t="n">
        <v>1</v>
      </c>
      <c r="P125" s="5" t="n">
        <v>0.4</v>
      </c>
      <c r="Q125" s="5" t="n">
        <v>0.15</v>
      </c>
      <c r="R125" s="5" t="n">
        <v>4</v>
      </c>
      <c r="S125" s="5" t="n">
        <v>0.3</v>
      </c>
      <c r="T125" s="5" t="n">
        <v>3</v>
      </c>
      <c r="U125" s="5" t="n">
        <v>0.8</v>
      </c>
      <c r="V125" s="5" t="n">
        <v>10</v>
      </c>
      <c r="W125" s="5" t="n">
        <v>1</v>
      </c>
      <c r="X125" s="5" t="n">
        <v>15</v>
      </c>
      <c r="Y125" s="5" t="n">
        <v>1.8</v>
      </c>
      <c r="Z125" s="5" t="n">
        <v>250</v>
      </c>
      <c r="AA125" s="7" t="n">
        <v>0.1</v>
      </c>
    </row>
    <row r="126" customFormat="false" ht="26.25" hidden="false" customHeight="true" outlineLevel="0" collapsed="false">
      <c r="A126" s="4" t="s">
        <v>154</v>
      </c>
      <c r="B126" s="4" t="s">
        <v>28</v>
      </c>
      <c r="C126" s="5" t="n">
        <v>11.5</v>
      </c>
      <c r="D126" s="5"/>
      <c r="E126" s="4" t="s">
        <v>29</v>
      </c>
      <c r="F126" s="6" t="s">
        <v>28</v>
      </c>
      <c r="G126" s="5" t="n">
        <v>120</v>
      </c>
      <c r="H126" s="5" t="n">
        <v>2.5</v>
      </c>
      <c r="I126" s="5" t="n">
        <v>23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0.5</v>
      </c>
      <c r="O126" s="5" t="n">
        <v>1.5</v>
      </c>
      <c r="P126" s="5" t="n">
        <v>0.15</v>
      </c>
      <c r="Q126" s="5" t="n">
        <v>0.3</v>
      </c>
      <c r="R126" s="5" t="n">
        <v>7</v>
      </c>
      <c r="S126" s="5" t="n">
        <v>0.4</v>
      </c>
      <c r="T126" s="5" t="n">
        <v>5</v>
      </c>
      <c r="U126" s="5" t="n">
        <v>3</v>
      </c>
      <c r="V126" s="5" t="n">
        <v>10</v>
      </c>
      <c r="W126" s="5" t="n">
        <v>3.5</v>
      </c>
      <c r="X126" s="5" t="n">
        <v>25</v>
      </c>
      <c r="Y126" s="5" t="n">
        <v>3</v>
      </c>
      <c r="Z126" s="5" t="n">
        <v>320</v>
      </c>
      <c r="AA126" s="7" t="n">
        <v>0</v>
      </c>
    </row>
    <row r="127" customFormat="false" ht="15" hidden="false" customHeight="true" outlineLevel="0" collapsed="false">
      <c r="A127" s="4" t="s">
        <v>155</v>
      </c>
      <c r="B127" s="4" t="s">
        <v>106</v>
      </c>
      <c r="C127" s="5" t="n">
        <v>14.9</v>
      </c>
      <c r="D127" s="5"/>
      <c r="E127" s="4" t="s">
        <v>29</v>
      </c>
      <c r="F127" s="6" t="s">
        <v>106</v>
      </c>
      <c r="G127" s="5" t="n">
        <v>250</v>
      </c>
      <c r="H127" s="5" t="n">
        <v>17</v>
      </c>
      <c r="I127" s="5" t="n">
        <v>25</v>
      </c>
      <c r="J127" s="5" t="n">
        <v>0</v>
      </c>
      <c r="K127" s="5" t="n">
        <v>0</v>
      </c>
      <c r="L127" s="5" t="n">
        <v>0</v>
      </c>
      <c r="M127" s="5" t="n">
        <v>0.1</v>
      </c>
      <c r="N127" s="5" t="n">
        <v>0.5</v>
      </c>
      <c r="O127" s="5" t="n">
        <v>4</v>
      </c>
      <c r="P127" s="5" t="n">
        <v>0.1</v>
      </c>
      <c r="Q127" s="5" t="n">
        <v>0.23</v>
      </c>
      <c r="R127" s="5" t="n">
        <v>6</v>
      </c>
      <c r="S127" s="5" t="n">
        <v>0.15</v>
      </c>
      <c r="T127" s="5" t="n">
        <v>5</v>
      </c>
      <c r="U127" s="5" t="n">
        <v>2.6</v>
      </c>
      <c r="V127" s="5" t="n">
        <v>8</v>
      </c>
      <c r="W127" s="5" t="n">
        <v>1.9</v>
      </c>
      <c r="X127" s="5" t="n">
        <v>21</v>
      </c>
      <c r="Y127" s="5" t="n">
        <v>4</v>
      </c>
      <c r="Z127" s="5" t="n">
        <v>310</v>
      </c>
      <c r="AA127" s="7" t="n">
        <v>0</v>
      </c>
    </row>
    <row r="128" customFormat="false" ht="26.25" hidden="false" customHeight="true" outlineLevel="0" collapsed="false">
      <c r="A128" s="4" t="s">
        <v>156</v>
      </c>
      <c r="B128" s="4" t="s">
        <v>28</v>
      </c>
      <c r="C128" s="5" t="n">
        <v>5.1</v>
      </c>
      <c r="D128" s="5"/>
      <c r="E128" s="4" t="s">
        <v>29</v>
      </c>
      <c r="F128" s="6" t="s">
        <v>28</v>
      </c>
      <c r="G128" s="5" t="n">
        <v>150</v>
      </c>
      <c r="H128" s="5" t="n">
        <v>6</v>
      </c>
      <c r="I128" s="5" t="n">
        <v>20</v>
      </c>
      <c r="J128" s="5" t="n">
        <v>0</v>
      </c>
      <c r="K128" s="5" t="n">
        <v>10</v>
      </c>
      <c r="L128" s="5" t="n">
        <v>0</v>
      </c>
      <c r="M128" s="5" t="n">
        <v>5</v>
      </c>
      <c r="N128" s="5" t="n">
        <v>1.5</v>
      </c>
      <c r="O128" s="5" t="n">
        <v>0.1</v>
      </c>
      <c r="P128" s="5" t="n">
        <v>0.1</v>
      </c>
      <c r="Q128" s="5" t="n">
        <v>0.15</v>
      </c>
      <c r="R128" s="5" t="n">
        <v>4</v>
      </c>
      <c r="S128" s="5" t="n">
        <v>0.3</v>
      </c>
      <c r="T128" s="5" t="n">
        <v>10</v>
      </c>
      <c r="U128" s="5" t="n">
        <v>2</v>
      </c>
      <c r="V128" s="5" t="n">
        <v>15</v>
      </c>
      <c r="W128" s="5" t="n">
        <v>0.5</v>
      </c>
      <c r="X128" s="5" t="n">
        <v>25</v>
      </c>
      <c r="Y128" s="5" t="n">
        <v>0.5</v>
      </c>
      <c r="Z128" s="5" t="n">
        <v>320</v>
      </c>
      <c r="AA128" s="7" t="n">
        <v>0</v>
      </c>
    </row>
    <row r="129" customFormat="false" ht="26.25" hidden="false" customHeight="true" outlineLevel="0" collapsed="false">
      <c r="A129" s="4" t="s">
        <v>157</v>
      </c>
      <c r="B129" s="4" t="s">
        <v>28</v>
      </c>
      <c r="C129" s="5" t="n">
        <v>12.5</v>
      </c>
      <c r="D129" s="5"/>
      <c r="E129" s="4" t="s">
        <v>29</v>
      </c>
      <c r="F129" s="6" t="s">
        <v>28</v>
      </c>
      <c r="G129" s="5" t="n">
        <v>85</v>
      </c>
      <c r="H129" s="5" t="n">
        <v>0.5</v>
      </c>
      <c r="I129" s="5" t="n">
        <v>20</v>
      </c>
      <c r="J129" s="5" t="n">
        <v>0</v>
      </c>
      <c r="K129" s="5" t="n">
        <v>0</v>
      </c>
      <c r="L129" s="5" t="n">
        <v>2</v>
      </c>
      <c r="M129" s="5" t="n">
        <v>0</v>
      </c>
      <c r="N129" s="5" t="n">
        <v>1</v>
      </c>
      <c r="O129" s="5" t="n">
        <v>0</v>
      </c>
      <c r="P129" s="5" t="n">
        <v>0.02</v>
      </c>
      <c r="Q129" s="5" t="n">
        <v>0.03</v>
      </c>
      <c r="R129" s="5" t="n">
        <v>2</v>
      </c>
      <c r="S129" s="5" t="n">
        <v>0.1</v>
      </c>
      <c r="T129" s="5" t="n">
        <v>3</v>
      </c>
      <c r="U129" s="5" t="n">
        <v>1.2</v>
      </c>
      <c r="V129" s="5" t="n">
        <v>70</v>
      </c>
      <c r="W129" s="5" t="n">
        <v>0.5</v>
      </c>
      <c r="X129" s="5" t="n">
        <v>40</v>
      </c>
      <c r="Y129" s="5" t="n">
        <v>1.3</v>
      </c>
      <c r="Z129" s="5" t="n">
        <v>260</v>
      </c>
      <c r="AA129" s="7" t="n">
        <v>0</v>
      </c>
    </row>
    <row r="130" customFormat="false" ht="26.25" hidden="false" customHeight="true" outlineLevel="0" collapsed="false">
      <c r="A130" s="4" t="s">
        <v>158</v>
      </c>
      <c r="B130" s="4" t="s">
        <v>28</v>
      </c>
      <c r="C130" s="5" t="n">
        <v>4</v>
      </c>
      <c r="D130" s="5"/>
      <c r="E130" s="4" t="s">
        <v>29</v>
      </c>
      <c r="F130" s="6" t="s">
        <v>28</v>
      </c>
      <c r="G130" s="5" t="n">
        <v>110</v>
      </c>
      <c r="H130" s="5" t="n">
        <v>2.5</v>
      </c>
      <c r="I130" s="5" t="n">
        <v>20</v>
      </c>
      <c r="J130" s="5" t="n">
        <v>0</v>
      </c>
      <c r="K130" s="5" t="n">
        <v>15</v>
      </c>
      <c r="L130" s="5" t="n">
        <v>0</v>
      </c>
      <c r="M130" s="5" t="n">
        <v>6</v>
      </c>
      <c r="N130" s="5" t="n">
        <v>1</v>
      </c>
      <c r="O130" s="5" t="n">
        <v>0.1</v>
      </c>
      <c r="P130" s="5" t="n">
        <v>0.1</v>
      </c>
      <c r="Q130" s="5" t="n">
        <v>0.15</v>
      </c>
      <c r="R130" s="5" t="n">
        <v>3.5</v>
      </c>
      <c r="S130" s="5" t="n">
        <v>0.35</v>
      </c>
      <c r="T130" s="5" t="n">
        <v>10</v>
      </c>
      <c r="U130" s="5" t="n">
        <v>2.5</v>
      </c>
      <c r="V130" s="5" t="n">
        <v>20</v>
      </c>
      <c r="W130" s="5" t="n">
        <v>0.6</v>
      </c>
      <c r="X130" s="5" t="n">
        <v>28</v>
      </c>
      <c r="Y130" s="5" t="n">
        <v>0.6</v>
      </c>
      <c r="Z130" s="5" t="n">
        <v>350</v>
      </c>
      <c r="AA130" s="7" t="n">
        <v>0</v>
      </c>
    </row>
    <row r="131" customFormat="false" ht="26.25" hidden="false" customHeight="true" outlineLevel="0" collapsed="false">
      <c r="A131" s="4" t="s">
        <v>159</v>
      </c>
      <c r="B131" s="4" t="s">
        <v>28</v>
      </c>
      <c r="C131" s="5" t="n">
        <v>2.4</v>
      </c>
      <c r="D131" s="5"/>
      <c r="E131" s="4" t="s">
        <v>29</v>
      </c>
      <c r="F131" s="6" t="s">
        <v>28</v>
      </c>
      <c r="G131" s="5" t="n">
        <v>90</v>
      </c>
      <c r="H131" s="5" t="n">
        <v>1</v>
      </c>
      <c r="I131" s="5" t="n">
        <v>19</v>
      </c>
      <c r="J131" s="5" t="n">
        <v>0</v>
      </c>
      <c r="K131" s="5" t="n">
        <v>10</v>
      </c>
      <c r="L131" s="5" t="n">
        <v>0</v>
      </c>
      <c r="M131" s="5" t="n">
        <v>3</v>
      </c>
      <c r="N131" s="5" t="n">
        <v>0.5</v>
      </c>
      <c r="O131" s="5" t="n">
        <v>0.1</v>
      </c>
      <c r="P131" s="5" t="n">
        <v>0.08</v>
      </c>
      <c r="Q131" s="5" t="n">
        <v>0.1</v>
      </c>
      <c r="R131" s="5" t="n">
        <v>2.5</v>
      </c>
      <c r="S131" s="5" t="n">
        <v>0.25</v>
      </c>
      <c r="T131" s="5" t="n">
        <v>8</v>
      </c>
      <c r="U131" s="5" t="n">
        <v>1.8</v>
      </c>
      <c r="V131" s="5" t="n">
        <v>18</v>
      </c>
      <c r="W131" s="5" t="n">
        <v>0.4</v>
      </c>
      <c r="X131" s="5" t="n">
        <v>25</v>
      </c>
      <c r="Y131" s="5" t="n">
        <v>0.5</v>
      </c>
      <c r="Z131" s="5" t="n">
        <v>320</v>
      </c>
      <c r="AA131" s="7" t="n">
        <v>0</v>
      </c>
    </row>
    <row r="132" customFormat="false" ht="26.25" hidden="false" customHeight="true" outlineLevel="0" collapsed="false">
      <c r="A132" s="4" t="s">
        <v>160</v>
      </c>
      <c r="B132" s="4" t="s">
        <v>28</v>
      </c>
      <c r="C132" s="5" t="n">
        <v>10</v>
      </c>
      <c r="D132" s="5"/>
      <c r="E132" s="4" t="s">
        <v>29</v>
      </c>
      <c r="F132" s="6" t="s">
        <v>28</v>
      </c>
      <c r="G132" s="5" t="n">
        <v>140</v>
      </c>
      <c r="H132" s="5" t="n">
        <v>5</v>
      </c>
      <c r="I132" s="5" t="n">
        <v>22</v>
      </c>
      <c r="J132" s="5" t="n">
        <v>0</v>
      </c>
      <c r="K132" s="5" t="n">
        <v>20</v>
      </c>
      <c r="L132" s="5" t="n">
        <v>0</v>
      </c>
      <c r="M132" s="5" t="n">
        <v>8</v>
      </c>
      <c r="N132" s="5" t="n">
        <v>1.5</v>
      </c>
      <c r="O132" s="5" t="n">
        <v>0.1</v>
      </c>
      <c r="P132" s="5" t="n">
        <v>0.12</v>
      </c>
      <c r="Q132" s="5" t="n">
        <v>0.18</v>
      </c>
      <c r="R132" s="5" t="n">
        <v>4.5</v>
      </c>
      <c r="S132" s="5" t="n">
        <v>0.4</v>
      </c>
      <c r="T132" s="5" t="n">
        <v>12</v>
      </c>
      <c r="U132" s="5" t="n">
        <v>3</v>
      </c>
      <c r="V132" s="5" t="n">
        <v>22</v>
      </c>
      <c r="W132" s="5" t="n">
        <v>0.7</v>
      </c>
      <c r="X132" s="5" t="n">
        <v>30</v>
      </c>
      <c r="Y132" s="5" t="n">
        <v>0.7</v>
      </c>
      <c r="Z132" s="5" t="n">
        <v>380</v>
      </c>
      <c r="AA132" s="7" t="n">
        <v>0</v>
      </c>
    </row>
    <row r="133" customFormat="false" ht="26.25" hidden="false" customHeight="true" outlineLevel="0" collapsed="false">
      <c r="A133" s="4" t="s">
        <v>161</v>
      </c>
      <c r="B133" s="4" t="s">
        <v>28</v>
      </c>
      <c r="C133" s="5" t="n">
        <v>9</v>
      </c>
      <c r="D133" s="5"/>
      <c r="E133" s="4" t="s">
        <v>29</v>
      </c>
      <c r="F133" s="6" t="s">
        <v>28</v>
      </c>
      <c r="G133" s="5" t="n">
        <v>717</v>
      </c>
      <c r="H133" s="5" t="n">
        <v>81</v>
      </c>
      <c r="I133" s="5" t="n">
        <v>0.9</v>
      </c>
      <c r="J133" s="5" t="n">
        <v>0.1</v>
      </c>
      <c r="K133" s="5" t="n">
        <v>653</v>
      </c>
      <c r="L133" s="5" t="n">
        <v>0</v>
      </c>
      <c r="M133" s="5" t="n">
        <v>1.5</v>
      </c>
      <c r="N133" s="5" t="n">
        <v>2.3</v>
      </c>
      <c r="O133" s="5" t="n">
        <v>7</v>
      </c>
      <c r="P133" s="5" t="n">
        <v>0</v>
      </c>
      <c r="Q133" s="5" t="n">
        <v>0.01</v>
      </c>
      <c r="R133" s="5" t="n">
        <v>0.02</v>
      </c>
      <c r="S133" s="5" t="n">
        <v>0.003</v>
      </c>
      <c r="T133" s="5" t="n">
        <v>3</v>
      </c>
      <c r="U133" s="5" t="n">
        <v>0.2</v>
      </c>
      <c r="V133" s="5" t="n">
        <v>24</v>
      </c>
      <c r="W133" s="5" t="n">
        <v>0.02</v>
      </c>
      <c r="X133" s="5" t="n">
        <v>2</v>
      </c>
      <c r="Y133" s="5" t="n">
        <v>0.1</v>
      </c>
      <c r="Z133" s="5" t="n">
        <v>24</v>
      </c>
      <c r="AA133" s="7" t="n">
        <v>0</v>
      </c>
    </row>
    <row r="134" customFormat="false" ht="26.25" hidden="false" customHeight="true" outlineLevel="0" collapsed="false">
      <c r="A134" s="4" t="s">
        <v>162</v>
      </c>
      <c r="B134" s="4" t="s">
        <v>28</v>
      </c>
      <c r="C134" s="5" t="n">
        <v>11.5</v>
      </c>
      <c r="D134" s="5"/>
      <c r="E134" s="4" t="s">
        <v>29</v>
      </c>
      <c r="F134" s="6" t="s">
        <v>28</v>
      </c>
      <c r="G134" s="5" t="n">
        <v>717</v>
      </c>
      <c r="H134" s="5" t="n">
        <v>81</v>
      </c>
      <c r="I134" s="5" t="n">
        <v>0.9</v>
      </c>
      <c r="J134" s="5" t="n">
        <v>0.1</v>
      </c>
      <c r="K134" s="5" t="n">
        <v>653</v>
      </c>
      <c r="L134" s="5" t="n">
        <v>0</v>
      </c>
      <c r="M134" s="5" t="n">
        <v>1.5</v>
      </c>
      <c r="N134" s="5" t="n">
        <v>2.3</v>
      </c>
      <c r="O134" s="5" t="n">
        <v>7</v>
      </c>
      <c r="P134" s="5" t="n">
        <v>0</v>
      </c>
      <c r="Q134" s="5" t="n">
        <v>0.01</v>
      </c>
      <c r="R134" s="5" t="n">
        <v>0.02</v>
      </c>
      <c r="S134" s="5" t="n">
        <v>0.003</v>
      </c>
      <c r="T134" s="5" t="n">
        <v>3</v>
      </c>
      <c r="U134" s="5" t="n">
        <v>0.2</v>
      </c>
      <c r="V134" s="5" t="n">
        <v>24</v>
      </c>
      <c r="W134" s="5" t="n">
        <v>0.02</v>
      </c>
      <c r="X134" s="5" t="n">
        <v>2</v>
      </c>
      <c r="Y134" s="5" t="n">
        <v>0.1</v>
      </c>
      <c r="Z134" s="5" t="n">
        <v>24</v>
      </c>
      <c r="AA134" s="7" t="n">
        <v>0</v>
      </c>
    </row>
    <row r="135" customFormat="false" ht="26.25" hidden="false" customHeight="true" outlineLevel="0" collapsed="false">
      <c r="A135" s="4" t="s">
        <v>163</v>
      </c>
      <c r="B135" s="4" t="s">
        <v>28</v>
      </c>
      <c r="C135" s="5" t="n">
        <v>1.4</v>
      </c>
      <c r="D135" s="5"/>
      <c r="E135" s="4" t="s">
        <v>29</v>
      </c>
      <c r="F135" s="6" t="s">
        <v>28</v>
      </c>
      <c r="G135" s="5" t="n">
        <v>64</v>
      </c>
      <c r="H135" s="5" t="n">
        <v>3.5</v>
      </c>
      <c r="I135" s="5" t="n">
        <v>3.3</v>
      </c>
      <c r="J135" s="5" t="n">
        <v>4.8</v>
      </c>
      <c r="K135" s="5" t="n">
        <v>28</v>
      </c>
      <c r="L135" s="5" t="n">
        <v>1</v>
      </c>
      <c r="M135" s="5" t="n">
        <v>0.1</v>
      </c>
      <c r="N135" s="5" t="n">
        <v>0.1</v>
      </c>
      <c r="O135" s="5" t="n">
        <v>0.2</v>
      </c>
      <c r="P135" s="5" t="n">
        <v>0.04</v>
      </c>
      <c r="Q135" s="5" t="n">
        <v>0.18</v>
      </c>
      <c r="R135" s="5" t="n">
        <v>0.1</v>
      </c>
      <c r="S135" s="5" t="n">
        <v>0.04</v>
      </c>
      <c r="T135" s="5" t="n">
        <v>5</v>
      </c>
      <c r="U135" s="5" t="n">
        <v>0.4</v>
      </c>
      <c r="V135" s="5" t="n">
        <v>120</v>
      </c>
      <c r="W135" s="5" t="n">
        <v>0.05</v>
      </c>
      <c r="X135" s="5" t="n">
        <v>12</v>
      </c>
      <c r="Y135" s="5" t="n">
        <v>0.4</v>
      </c>
      <c r="Z135" s="5" t="n">
        <v>150</v>
      </c>
      <c r="AA135" s="7" t="n">
        <v>4.6</v>
      </c>
    </row>
    <row r="136" customFormat="false" ht="26.25" hidden="false" customHeight="true" outlineLevel="0" collapsed="false">
      <c r="A136" s="4" t="s">
        <v>164</v>
      </c>
      <c r="B136" s="4" t="s">
        <v>28</v>
      </c>
      <c r="C136" s="5" t="n">
        <v>1.7</v>
      </c>
      <c r="D136" s="5"/>
      <c r="E136" s="4" t="s">
        <v>29</v>
      </c>
      <c r="F136" s="6" t="s">
        <v>28</v>
      </c>
      <c r="G136" s="5" t="n">
        <v>64</v>
      </c>
      <c r="H136" s="5" t="n">
        <v>3.5</v>
      </c>
      <c r="I136" s="5" t="n">
        <v>3.3</v>
      </c>
      <c r="J136" s="5" t="n">
        <v>4.8</v>
      </c>
      <c r="K136" s="5" t="n">
        <v>28</v>
      </c>
      <c r="L136" s="5" t="n">
        <v>1</v>
      </c>
      <c r="M136" s="5" t="n">
        <v>0.1</v>
      </c>
      <c r="N136" s="5" t="n">
        <v>0.1</v>
      </c>
      <c r="O136" s="5" t="n">
        <v>0.2</v>
      </c>
      <c r="P136" s="5" t="n">
        <v>0.04</v>
      </c>
      <c r="Q136" s="5" t="n">
        <v>0.18</v>
      </c>
      <c r="R136" s="5" t="n">
        <v>0.1</v>
      </c>
      <c r="S136" s="5" t="n">
        <v>0.04</v>
      </c>
      <c r="T136" s="5" t="n">
        <v>5</v>
      </c>
      <c r="U136" s="5" t="n">
        <v>0.4</v>
      </c>
      <c r="V136" s="5" t="n">
        <v>120</v>
      </c>
      <c r="W136" s="5" t="n">
        <v>0.05</v>
      </c>
      <c r="X136" s="5" t="n">
        <v>12</v>
      </c>
      <c r="Y136" s="5" t="n">
        <v>0.4</v>
      </c>
      <c r="Z136" s="5" t="n">
        <v>150</v>
      </c>
      <c r="AA136" s="7" t="n">
        <v>0.7</v>
      </c>
    </row>
    <row r="137" customFormat="false" ht="26.25" hidden="false" customHeight="true" outlineLevel="0" collapsed="false">
      <c r="A137" s="4" t="s">
        <v>165</v>
      </c>
      <c r="B137" s="4" t="s">
        <v>28</v>
      </c>
      <c r="C137" s="5" t="n">
        <v>1.2</v>
      </c>
      <c r="D137" s="5"/>
      <c r="E137" s="4" t="s">
        <v>29</v>
      </c>
      <c r="F137" s="6" t="s">
        <v>28</v>
      </c>
      <c r="G137" s="5" t="n">
        <v>46</v>
      </c>
      <c r="H137" s="5" t="n">
        <v>1.5</v>
      </c>
      <c r="I137" s="5" t="n">
        <v>3.4</v>
      </c>
      <c r="J137" s="5" t="n">
        <v>4.9</v>
      </c>
      <c r="K137" s="5" t="n">
        <v>15</v>
      </c>
      <c r="L137" s="5" t="n">
        <v>1</v>
      </c>
      <c r="M137" s="5" t="n">
        <v>0.1</v>
      </c>
      <c r="N137" s="5" t="n">
        <v>0.03</v>
      </c>
      <c r="O137" s="5" t="n">
        <v>0.1</v>
      </c>
      <c r="P137" s="5" t="n">
        <v>0.04</v>
      </c>
      <c r="Q137" s="5" t="n">
        <v>0.18</v>
      </c>
      <c r="R137" s="5" t="n">
        <v>0.1</v>
      </c>
      <c r="S137" s="5" t="n">
        <v>0.04</v>
      </c>
      <c r="T137" s="5" t="n">
        <v>5</v>
      </c>
      <c r="U137" s="5" t="n">
        <v>0.4</v>
      </c>
      <c r="V137" s="5" t="n">
        <v>122</v>
      </c>
      <c r="W137" s="5" t="n">
        <v>0.05</v>
      </c>
      <c r="X137" s="5" t="n">
        <v>12</v>
      </c>
      <c r="Y137" s="5" t="n">
        <v>0.4</v>
      </c>
      <c r="Z137" s="5" t="n">
        <v>150</v>
      </c>
      <c r="AA137" s="7" t="n">
        <v>4.7</v>
      </c>
    </row>
    <row r="138" customFormat="false" ht="26.25" hidden="false" customHeight="true" outlineLevel="0" collapsed="false">
      <c r="A138" s="4" t="s">
        <v>166</v>
      </c>
      <c r="B138" s="4" t="s">
        <v>28</v>
      </c>
      <c r="C138" s="5" t="n">
        <v>1.3</v>
      </c>
      <c r="D138" s="5"/>
      <c r="E138" s="4" t="s">
        <v>29</v>
      </c>
      <c r="F138" s="6" t="s">
        <v>28</v>
      </c>
      <c r="G138" s="5" t="n">
        <v>64</v>
      </c>
      <c r="H138" s="5" t="n">
        <v>3.5</v>
      </c>
      <c r="I138" s="5" t="n">
        <v>3.3</v>
      </c>
      <c r="J138" s="5" t="n">
        <v>4.8</v>
      </c>
      <c r="K138" s="5" t="n">
        <v>28</v>
      </c>
      <c r="L138" s="5" t="n">
        <v>1</v>
      </c>
      <c r="M138" s="5" t="n">
        <v>0.1</v>
      </c>
      <c r="N138" s="5" t="n">
        <v>0.1</v>
      </c>
      <c r="O138" s="5" t="n">
        <v>0.2</v>
      </c>
      <c r="P138" s="5" t="n">
        <v>0.04</v>
      </c>
      <c r="Q138" s="5" t="n">
        <v>0.18</v>
      </c>
      <c r="R138" s="5" t="n">
        <v>0.1</v>
      </c>
      <c r="S138" s="5" t="n">
        <v>0.04</v>
      </c>
      <c r="T138" s="5" t="n">
        <v>5</v>
      </c>
      <c r="U138" s="5" t="n">
        <v>0.4</v>
      </c>
      <c r="V138" s="5" t="n">
        <v>120</v>
      </c>
      <c r="W138" s="5" t="n">
        <v>0.05</v>
      </c>
      <c r="X138" s="5" t="n">
        <v>12</v>
      </c>
      <c r="Y138" s="5" t="n">
        <v>0.4</v>
      </c>
      <c r="Z138" s="5" t="n">
        <v>150</v>
      </c>
      <c r="AA138" s="7" t="n">
        <v>4.6</v>
      </c>
    </row>
    <row r="139" customFormat="false" ht="26.25" hidden="false" customHeight="true" outlineLevel="0" collapsed="false">
      <c r="A139" s="4" t="s">
        <v>167</v>
      </c>
      <c r="B139" s="4" t="s">
        <v>28</v>
      </c>
      <c r="C139" s="5" t="n">
        <v>1.1</v>
      </c>
      <c r="D139" s="5"/>
      <c r="E139" s="4" t="s">
        <v>29</v>
      </c>
      <c r="F139" s="6" t="s">
        <v>28</v>
      </c>
      <c r="G139" s="5" t="n">
        <v>46</v>
      </c>
      <c r="H139" s="5" t="n">
        <v>1.5</v>
      </c>
      <c r="I139" s="5" t="n">
        <v>3.4</v>
      </c>
      <c r="J139" s="5" t="n">
        <v>4.9</v>
      </c>
      <c r="K139" s="5" t="n">
        <v>15</v>
      </c>
      <c r="L139" s="5" t="n">
        <v>1</v>
      </c>
      <c r="M139" s="5" t="n">
        <v>0.1</v>
      </c>
      <c r="N139" s="5" t="n">
        <v>0.03</v>
      </c>
      <c r="O139" s="5" t="n">
        <v>0.1</v>
      </c>
      <c r="P139" s="5" t="n">
        <v>0.04</v>
      </c>
      <c r="Q139" s="5" t="n">
        <v>0.18</v>
      </c>
      <c r="R139" s="5" t="n">
        <v>0.1</v>
      </c>
      <c r="S139" s="5" t="n">
        <v>0.04</v>
      </c>
      <c r="T139" s="5" t="n">
        <v>5</v>
      </c>
      <c r="U139" s="5" t="n">
        <v>0.4</v>
      </c>
      <c r="V139" s="5" t="n">
        <v>122</v>
      </c>
      <c r="W139" s="5" t="n">
        <v>0.05</v>
      </c>
      <c r="X139" s="5" t="n">
        <v>12</v>
      </c>
      <c r="Y139" s="5" t="n">
        <v>0.4</v>
      </c>
      <c r="Z139" s="5" t="n">
        <v>150</v>
      </c>
      <c r="AA139" s="7" t="n">
        <v>4.7</v>
      </c>
    </row>
    <row r="140" customFormat="false" ht="26.25" hidden="false" customHeight="true" outlineLevel="0" collapsed="false">
      <c r="A140" s="4" t="s">
        <v>168</v>
      </c>
      <c r="B140" s="4" t="s">
        <v>28</v>
      </c>
      <c r="C140" s="5" t="n">
        <v>5.7</v>
      </c>
      <c r="D140" s="5"/>
      <c r="E140" s="4" t="s">
        <v>29</v>
      </c>
      <c r="F140" s="6" t="s">
        <v>28</v>
      </c>
      <c r="G140" s="5" t="n">
        <v>350</v>
      </c>
      <c r="H140" s="5" t="n">
        <v>28</v>
      </c>
      <c r="I140" s="5" t="n">
        <v>25</v>
      </c>
      <c r="J140" s="5" t="n">
        <v>2</v>
      </c>
      <c r="K140" s="5" t="n">
        <v>200</v>
      </c>
      <c r="L140" s="5" t="n">
        <v>0</v>
      </c>
      <c r="M140" s="5" t="n">
        <v>0.5</v>
      </c>
      <c r="N140" s="5" t="n">
        <v>0.5</v>
      </c>
      <c r="O140" s="5" t="n">
        <v>2</v>
      </c>
      <c r="P140" s="5" t="n">
        <v>0.03</v>
      </c>
      <c r="Q140" s="5" t="n">
        <v>0.35</v>
      </c>
      <c r="R140" s="5" t="n">
        <v>0.1</v>
      </c>
      <c r="S140" s="5" t="n">
        <v>0.08</v>
      </c>
      <c r="T140" s="5" t="n">
        <v>20</v>
      </c>
      <c r="U140" s="5" t="n">
        <v>1.5</v>
      </c>
      <c r="V140" s="5" t="n">
        <v>750</v>
      </c>
      <c r="W140" s="5" t="n">
        <v>0.3</v>
      </c>
      <c r="X140" s="5" t="n">
        <v>30</v>
      </c>
      <c r="Y140" s="5" t="n">
        <v>3.5</v>
      </c>
      <c r="Z140" s="5" t="n">
        <v>100</v>
      </c>
      <c r="AA140" s="7" t="n">
        <v>0</v>
      </c>
    </row>
    <row r="141" customFormat="false" ht="26.25" hidden="false" customHeight="true" outlineLevel="0" collapsed="false">
      <c r="A141" s="4" t="s">
        <v>169</v>
      </c>
      <c r="B141" s="4" t="s">
        <v>28</v>
      </c>
      <c r="C141" s="5" t="n">
        <v>7.2</v>
      </c>
      <c r="D141" s="5"/>
      <c r="E141" s="4" t="s">
        <v>29</v>
      </c>
      <c r="F141" s="6" t="s">
        <v>28</v>
      </c>
      <c r="G141" s="5" t="n">
        <v>350</v>
      </c>
      <c r="H141" s="5" t="n">
        <v>28</v>
      </c>
      <c r="I141" s="5" t="n">
        <v>25</v>
      </c>
      <c r="J141" s="5" t="n">
        <v>2</v>
      </c>
      <c r="K141" s="5" t="n">
        <v>200</v>
      </c>
      <c r="L141" s="5" t="n">
        <v>0</v>
      </c>
      <c r="M141" s="5" t="n">
        <v>0.5</v>
      </c>
      <c r="N141" s="5" t="n">
        <v>0.5</v>
      </c>
      <c r="O141" s="5" t="n">
        <v>2</v>
      </c>
      <c r="P141" s="5" t="n">
        <v>0.03</v>
      </c>
      <c r="Q141" s="5" t="n">
        <v>0.35</v>
      </c>
      <c r="R141" s="5" t="n">
        <v>0.1</v>
      </c>
      <c r="S141" s="5" t="n">
        <v>0.08</v>
      </c>
      <c r="T141" s="5" t="n">
        <v>20</v>
      </c>
      <c r="U141" s="5" t="n">
        <v>1.5</v>
      </c>
      <c r="V141" s="5" t="n">
        <v>750</v>
      </c>
      <c r="W141" s="5" t="n">
        <v>0.3</v>
      </c>
      <c r="X141" s="5" t="n">
        <v>30</v>
      </c>
      <c r="Y141" s="5" t="n">
        <v>3.5</v>
      </c>
      <c r="Z141" s="5" t="n">
        <v>100</v>
      </c>
      <c r="AA141" s="7" t="n">
        <v>0</v>
      </c>
    </row>
    <row r="142" customFormat="false" ht="26.25" hidden="false" customHeight="true" outlineLevel="0" collapsed="false">
      <c r="A142" s="4" t="s">
        <v>170</v>
      </c>
      <c r="B142" s="4" t="s">
        <v>28</v>
      </c>
      <c r="C142" s="5" t="n">
        <v>7</v>
      </c>
      <c r="D142" s="5"/>
      <c r="E142" s="4" t="s">
        <v>29</v>
      </c>
      <c r="F142" s="6" t="s">
        <v>28</v>
      </c>
      <c r="G142" s="5" t="n">
        <v>264</v>
      </c>
      <c r="H142" s="5" t="n">
        <v>21</v>
      </c>
      <c r="I142" s="5" t="n">
        <v>14</v>
      </c>
      <c r="J142" s="5" t="n">
        <v>4</v>
      </c>
      <c r="K142" s="5" t="n">
        <v>180</v>
      </c>
      <c r="L142" s="5" t="n">
        <v>0</v>
      </c>
      <c r="M142" s="5" t="n">
        <v>0.2</v>
      </c>
      <c r="N142" s="5" t="n">
        <v>0.4</v>
      </c>
      <c r="O142" s="5" t="n">
        <v>2</v>
      </c>
      <c r="P142" s="5" t="n">
        <v>0.03</v>
      </c>
      <c r="Q142" s="5" t="n">
        <v>0.3</v>
      </c>
      <c r="R142" s="5" t="n">
        <v>0.3</v>
      </c>
      <c r="S142" s="5" t="n">
        <v>0.15</v>
      </c>
      <c r="T142" s="5" t="n">
        <v>32</v>
      </c>
      <c r="U142" s="5" t="n">
        <v>1.3</v>
      </c>
      <c r="V142" s="5" t="n">
        <v>490</v>
      </c>
      <c r="W142" s="5" t="n">
        <v>0.7</v>
      </c>
      <c r="X142" s="5" t="n">
        <v>20</v>
      </c>
      <c r="Y142" s="5" t="n">
        <v>2.9</v>
      </c>
      <c r="Z142" s="5" t="n">
        <v>95</v>
      </c>
      <c r="AA142" s="7" t="n">
        <v>0.1</v>
      </c>
    </row>
    <row r="143" customFormat="false" ht="26.25" hidden="false" customHeight="true" outlineLevel="0" collapsed="false">
      <c r="A143" s="4" t="s">
        <v>171</v>
      </c>
      <c r="B143" s="4" t="s">
        <v>28</v>
      </c>
      <c r="C143" s="5" t="n">
        <v>6.3</v>
      </c>
      <c r="D143" s="5"/>
      <c r="E143" s="4" t="s">
        <v>29</v>
      </c>
      <c r="F143" s="6" t="s">
        <v>28</v>
      </c>
      <c r="G143" s="5" t="n">
        <v>400</v>
      </c>
      <c r="H143" s="5" t="n">
        <v>29</v>
      </c>
      <c r="I143" s="5" t="n">
        <v>36</v>
      </c>
      <c r="J143" s="5" t="n">
        <v>3</v>
      </c>
      <c r="K143" s="5" t="n">
        <v>180</v>
      </c>
      <c r="L143" s="5" t="n">
        <v>0</v>
      </c>
      <c r="M143" s="5" t="n">
        <v>0.5</v>
      </c>
      <c r="N143" s="5" t="n">
        <v>0.4</v>
      </c>
      <c r="O143" s="5" t="n">
        <v>2</v>
      </c>
      <c r="P143" s="5" t="n">
        <v>0.03</v>
      </c>
      <c r="Q143" s="5" t="n">
        <v>0.3</v>
      </c>
      <c r="R143" s="5" t="n">
        <v>0.2</v>
      </c>
      <c r="S143" s="5" t="n">
        <v>0.1</v>
      </c>
      <c r="T143" s="5" t="n">
        <v>7</v>
      </c>
      <c r="U143" s="5" t="n">
        <v>1.2</v>
      </c>
      <c r="V143" s="5" t="n">
        <v>1100</v>
      </c>
      <c r="W143" s="5" t="n">
        <v>0.8</v>
      </c>
      <c r="X143" s="5" t="n">
        <v>40</v>
      </c>
      <c r="Y143" s="5" t="n">
        <v>3.5</v>
      </c>
      <c r="Z143" s="5" t="n">
        <v>90</v>
      </c>
      <c r="AA143" s="7" t="n">
        <v>0.1</v>
      </c>
    </row>
    <row r="144" customFormat="false" ht="26.25" hidden="false" customHeight="true" outlineLevel="0" collapsed="false">
      <c r="A144" s="4" t="s">
        <v>172</v>
      </c>
      <c r="B144" s="4" t="s">
        <v>28</v>
      </c>
      <c r="C144" s="5" t="n">
        <v>6</v>
      </c>
      <c r="D144" s="5"/>
      <c r="E144" s="4" t="s">
        <v>29</v>
      </c>
      <c r="F144" s="6" t="s">
        <v>28</v>
      </c>
      <c r="G144" s="5" t="n">
        <v>380</v>
      </c>
      <c r="H144" s="5" t="n">
        <v>30</v>
      </c>
      <c r="I144" s="5" t="n">
        <v>28</v>
      </c>
      <c r="J144" s="5" t="n">
        <v>2</v>
      </c>
      <c r="K144" s="5" t="n">
        <v>220</v>
      </c>
      <c r="L144" s="5" t="n">
        <v>0</v>
      </c>
      <c r="M144" s="5" t="n">
        <v>1</v>
      </c>
      <c r="N144" s="5" t="n">
        <v>0.5</v>
      </c>
      <c r="O144" s="5" t="n">
        <v>2</v>
      </c>
      <c r="P144" s="5" t="n">
        <v>0.03</v>
      </c>
      <c r="Q144" s="5" t="n">
        <v>0.35</v>
      </c>
      <c r="R144" s="5" t="n">
        <v>0.1</v>
      </c>
      <c r="S144" s="5" t="n">
        <v>0.08</v>
      </c>
      <c r="T144" s="5" t="n">
        <v>15</v>
      </c>
      <c r="U144" s="5" t="n">
        <v>2.4</v>
      </c>
      <c r="V144" s="5" t="n">
        <v>970</v>
      </c>
      <c r="W144" s="5" t="n">
        <v>0.3</v>
      </c>
      <c r="X144" s="5" t="n">
        <v>35</v>
      </c>
      <c r="Y144" s="5" t="n">
        <v>4.2</v>
      </c>
      <c r="Z144" s="5" t="n">
        <v>100</v>
      </c>
      <c r="AA144" s="7" t="n">
        <v>0</v>
      </c>
    </row>
    <row r="145" customFormat="false" ht="26.25" hidden="false" customHeight="true" outlineLevel="0" collapsed="false">
      <c r="A145" s="4" t="s">
        <v>173</v>
      </c>
      <c r="B145" s="4" t="s">
        <v>28</v>
      </c>
      <c r="C145" s="5" t="n">
        <v>5.5</v>
      </c>
      <c r="D145" s="5"/>
      <c r="E145" s="4" t="s">
        <v>29</v>
      </c>
      <c r="F145" s="6" t="s">
        <v>28</v>
      </c>
      <c r="G145" s="5" t="n">
        <v>250</v>
      </c>
      <c r="H145" s="5" t="n">
        <v>23</v>
      </c>
      <c r="I145" s="5" t="n">
        <v>7</v>
      </c>
      <c r="J145" s="5" t="n">
        <v>3.5</v>
      </c>
      <c r="K145" s="5" t="n">
        <v>180</v>
      </c>
      <c r="L145" s="5" t="n">
        <v>0</v>
      </c>
      <c r="M145" s="5" t="n">
        <v>0.3</v>
      </c>
      <c r="N145" s="5" t="n">
        <v>0.3</v>
      </c>
      <c r="O145" s="5" t="n">
        <v>2</v>
      </c>
      <c r="P145" s="5" t="n">
        <v>0.02</v>
      </c>
      <c r="Q145" s="5" t="n">
        <v>0.2</v>
      </c>
      <c r="R145" s="5" t="n">
        <v>0.1</v>
      </c>
      <c r="S145" s="5" t="n">
        <v>0.05</v>
      </c>
      <c r="T145" s="5" t="n">
        <v>15</v>
      </c>
      <c r="U145" s="5" t="n">
        <v>0.5</v>
      </c>
      <c r="V145" s="5" t="n">
        <v>90</v>
      </c>
      <c r="W145" s="5" t="n">
        <v>0.2</v>
      </c>
      <c r="X145" s="5" t="n">
        <v>8</v>
      </c>
      <c r="Y145" s="5" t="n">
        <v>0.6</v>
      </c>
      <c r="Z145" s="5" t="n">
        <v>100</v>
      </c>
      <c r="AA145" s="7" t="n">
        <v>0.1</v>
      </c>
    </row>
    <row r="146" customFormat="false" ht="26.25" hidden="false" customHeight="true" outlineLevel="0" collapsed="false">
      <c r="A146" s="4" t="s">
        <v>174</v>
      </c>
      <c r="B146" s="4" t="s">
        <v>28</v>
      </c>
      <c r="C146" s="5" t="n">
        <v>6.9</v>
      </c>
      <c r="D146" s="5"/>
      <c r="E146" s="4" t="s">
        <v>29</v>
      </c>
      <c r="F146" s="6" t="s">
        <v>28</v>
      </c>
      <c r="G146" s="5" t="n">
        <v>250</v>
      </c>
      <c r="H146" s="5" t="n">
        <v>23</v>
      </c>
      <c r="I146" s="5" t="n">
        <v>7</v>
      </c>
      <c r="J146" s="5" t="n">
        <v>3.5</v>
      </c>
      <c r="K146" s="5" t="n">
        <v>180</v>
      </c>
      <c r="L146" s="5" t="n">
        <v>0</v>
      </c>
      <c r="M146" s="5" t="n">
        <v>0.3</v>
      </c>
      <c r="N146" s="5" t="n">
        <v>0.3</v>
      </c>
      <c r="O146" s="5" t="n">
        <v>2</v>
      </c>
      <c r="P146" s="5" t="n">
        <v>0.02</v>
      </c>
      <c r="Q146" s="5" t="n">
        <v>0.2</v>
      </c>
      <c r="R146" s="5" t="n">
        <v>0.1</v>
      </c>
      <c r="S146" s="5" t="n">
        <v>0.05</v>
      </c>
      <c r="T146" s="5" t="n">
        <v>15</v>
      </c>
      <c r="U146" s="5" t="n">
        <v>0.5</v>
      </c>
      <c r="V146" s="5" t="n">
        <v>90</v>
      </c>
      <c r="W146" s="5" t="n">
        <v>0.2</v>
      </c>
      <c r="X146" s="5" t="n">
        <v>8</v>
      </c>
      <c r="Y146" s="5" t="n">
        <v>0.6</v>
      </c>
      <c r="Z146" s="5" t="n">
        <v>100</v>
      </c>
      <c r="AA146" s="7" t="n">
        <v>0.1</v>
      </c>
    </row>
    <row r="147" customFormat="false" ht="26.25" hidden="false" customHeight="true" outlineLevel="0" collapsed="false">
      <c r="A147" s="4" t="s">
        <v>175</v>
      </c>
      <c r="B147" s="4" t="s">
        <v>28</v>
      </c>
      <c r="C147" s="5" t="n">
        <v>1.7</v>
      </c>
      <c r="D147" s="5"/>
      <c r="E147" s="4" t="s">
        <v>29</v>
      </c>
      <c r="F147" s="6" t="s">
        <v>28</v>
      </c>
      <c r="G147" s="5" t="n">
        <v>61</v>
      </c>
      <c r="H147" s="5" t="n">
        <v>3.3</v>
      </c>
      <c r="I147" s="5" t="n">
        <v>3.5</v>
      </c>
      <c r="J147" s="5" t="n">
        <v>4.7</v>
      </c>
      <c r="K147" s="5" t="n">
        <v>28</v>
      </c>
      <c r="L147" s="5" t="n">
        <v>0.8</v>
      </c>
      <c r="M147" s="5" t="n">
        <v>0</v>
      </c>
      <c r="N147" s="5" t="n">
        <v>0.1</v>
      </c>
      <c r="O147" s="5" t="n">
        <v>0.2</v>
      </c>
      <c r="P147" s="5" t="n">
        <v>0.03</v>
      </c>
      <c r="Q147" s="5" t="n">
        <v>0.18</v>
      </c>
      <c r="R147" s="5" t="n">
        <v>0.1</v>
      </c>
      <c r="S147" s="5" t="n">
        <v>0.05</v>
      </c>
      <c r="T147" s="5" t="n">
        <v>7</v>
      </c>
      <c r="U147" s="5" t="n">
        <v>0.4</v>
      </c>
      <c r="V147" s="5" t="n">
        <v>120</v>
      </c>
      <c r="W147" s="5" t="n">
        <v>0.1</v>
      </c>
      <c r="X147" s="5" t="n">
        <v>12</v>
      </c>
      <c r="Y147" s="5" t="n">
        <v>0.5</v>
      </c>
      <c r="Z147" s="5" t="n">
        <v>155</v>
      </c>
      <c r="AA147" s="7" t="n">
        <v>4.2</v>
      </c>
    </row>
    <row r="148" customFormat="false" ht="26.25" hidden="false" customHeight="true" outlineLevel="0" collapsed="false">
      <c r="A148" s="4" t="s">
        <v>176</v>
      </c>
      <c r="B148" s="4" t="s">
        <v>28</v>
      </c>
      <c r="C148" s="5" t="n">
        <v>1.9</v>
      </c>
      <c r="D148" s="5"/>
      <c r="E148" s="4" t="s">
        <v>29</v>
      </c>
      <c r="F148" s="6" t="s">
        <v>28</v>
      </c>
      <c r="G148" s="5" t="n">
        <v>61</v>
      </c>
      <c r="H148" s="5" t="n">
        <v>3.3</v>
      </c>
      <c r="I148" s="5" t="n">
        <v>3.5</v>
      </c>
      <c r="J148" s="5" t="n">
        <v>4.7</v>
      </c>
      <c r="K148" s="5" t="n">
        <v>28</v>
      </c>
      <c r="L148" s="5" t="n">
        <v>0.8</v>
      </c>
      <c r="M148" s="5" t="n">
        <v>0</v>
      </c>
      <c r="N148" s="5" t="n">
        <v>0.1</v>
      </c>
      <c r="O148" s="5" t="n">
        <v>0.2</v>
      </c>
      <c r="P148" s="5" t="n">
        <v>0.03</v>
      </c>
      <c r="Q148" s="5" t="n">
        <v>0.18</v>
      </c>
      <c r="R148" s="5" t="n">
        <v>0.1</v>
      </c>
      <c r="S148" s="5" t="n">
        <v>0.05</v>
      </c>
      <c r="T148" s="5" t="n">
        <v>7</v>
      </c>
      <c r="U148" s="5" t="n">
        <v>0.4</v>
      </c>
      <c r="V148" s="5" t="n">
        <v>120</v>
      </c>
      <c r="W148" s="5" t="n">
        <v>0.1</v>
      </c>
      <c r="X148" s="5" t="n">
        <v>12</v>
      </c>
      <c r="Y148" s="5" t="n">
        <v>0.5</v>
      </c>
      <c r="Z148" s="5" t="n">
        <v>155</v>
      </c>
      <c r="AA148" s="7" t="n">
        <v>0.7</v>
      </c>
    </row>
    <row r="149" customFormat="false" ht="26.25" hidden="false" customHeight="true" outlineLevel="0" collapsed="false">
      <c r="A149" s="4" t="s">
        <v>177</v>
      </c>
      <c r="B149" s="4" t="s">
        <v>28</v>
      </c>
      <c r="C149" s="5" t="n">
        <v>1.7</v>
      </c>
      <c r="D149" s="5"/>
      <c r="E149" s="4" t="s">
        <v>29</v>
      </c>
      <c r="F149" s="6" t="s">
        <v>28</v>
      </c>
      <c r="G149" s="5" t="n">
        <v>95</v>
      </c>
      <c r="H149" s="5" t="n">
        <v>2.5</v>
      </c>
      <c r="I149" s="5" t="n">
        <v>3.2</v>
      </c>
      <c r="J149" s="5" t="n">
        <v>15</v>
      </c>
      <c r="K149" s="5" t="n">
        <v>20</v>
      </c>
      <c r="L149" s="5" t="n">
        <v>3</v>
      </c>
      <c r="M149" s="5" t="n">
        <v>0</v>
      </c>
      <c r="N149" s="5" t="n">
        <v>0.1</v>
      </c>
      <c r="O149" s="5" t="n">
        <v>0.2</v>
      </c>
      <c r="P149" s="5" t="n">
        <v>0.03</v>
      </c>
      <c r="Q149" s="5" t="n">
        <v>0.15</v>
      </c>
      <c r="R149" s="5" t="n">
        <v>0.1</v>
      </c>
      <c r="S149" s="5" t="n">
        <v>0.04</v>
      </c>
      <c r="T149" s="5" t="n">
        <v>6</v>
      </c>
      <c r="U149" s="5" t="n">
        <v>0.3</v>
      </c>
      <c r="V149" s="5" t="n">
        <v>100</v>
      </c>
      <c r="W149" s="5" t="n">
        <v>0.1</v>
      </c>
      <c r="X149" s="5" t="n">
        <v>10</v>
      </c>
      <c r="Y149" s="5" t="n">
        <v>0.4</v>
      </c>
      <c r="Z149" s="5" t="n">
        <v>140</v>
      </c>
      <c r="AA149" s="7" t="n">
        <v>13.5</v>
      </c>
    </row>
    <row r="150" customFormat="false" ht="26.25" hidden="false" customHeight="true" outlineLevel="0" collapsed="false">
      <c r="A150" s="4" t="s">
        <v>178</v>
      </c>
      <c r="B150" s="4" t="s">
        <v>28</v>
      </c>
      <c r="C150" s="5" t="n">
        <v>3.3</v>
      </c>
      <c r="D150" s="5"/>
      <c r="E150" s="4" t="s">
        <v>29</v>
      </c>
      <c r="F150" s="6" t="s">
        <v>28</v>
      </c>
      <c r="G150" s="5" t="n">
        <v>145</v>
      </c>
      <c r="H150" s="5" t="n">
        <v>11</v>
      </c>
      <c r="I150" s="5" t="n">
        <v>11</v>
      </c>
      <c r="J150" s="5" t="n">
        <v>3.5</v>
      </c>
      <c r="K150" s="5" t="n">
        <v>120</v>
      </c>
      <c r="L150" s="5" t="n">
        <v>0</v>
      </c>
      <c r="M150" s="5" t="n">
        <v>0</v>
      </c>
      <c r="N150" s="5" t="n">
        <v>0.1</v>
      </c>
      <c r="O150" s="5" t="n">
        <v>1</v>
      </c>
      <c r="P150" s="5" t="n">
        <v>0.02</v>
      </c>
      <c r="Q150" s="5" t="n">
        <v>0.2</v>
      </c>
      <c r="R150" s="5" t="n">
        <v>0.1</v>
      </c>
      <c r="S150" s="5" t="n">
        <v>0.05</v>
      </c>
      <c r="T150" s="5" t="n">
        <v>10</v>
      </c>
      <c r="U150" s="5" t="n">
        <v>0.6</v>
      </c>
      <c r="V150" s="5" t="n">
        <v>90</v>
      </c>
      <c r="W150" s="5" t="n">
        <v>0.1</v>
      </c>
      <c r="X150" s="5" t="n">
        <v>8</v>
      </c>
      <c r="Y150" s="5" t="n">
        <v>0.5</v>
      </c>
      <c r="Z150" s="5" t="n">
        <v>110</v>
      </c>
      <c r="AA150" s="7" t="n">
        <v>2.1</v>
      </c>
    </row>
    <row r="151" customFormat="false" ht="26.25" hidden="false" customHeight="true" outlineLevel="0" collapsed="false">
      <c r="A151" s="4" t="s">
        <v>179</v>
      </c>
      <c r="B151" s="4" t="s">
        <v>28</v>
      </c>
      <c r="C151" s="5" t="n">
        <v>4.1</v>
      </c>
      <c r="D151" s="5"/>
      <c r="E151" s="4" t="s">
        <v>29</v>
      </c>
      <c r="F151" s="6" t="s">
        <v>28</v>
      </c>
      <c r="G151" s="5" t="n">
        <v>145</v>
      </c>
      <c r="H151" s="5" t="n">
        <v>11</v>
      </c>
      <c r="I151" s="5" t="n">
        <v>11</v>
      </c>
      <c r="J151" s="5" t="n">
        <v>3.5</v>
      </c>
      <c r="K151" s="5" t="n">
        <v>120</v>
      </c>
      <c r="L151" s="5" t="n">
        <v>0</v>
      </c>
      <c r="M151" s="5" t="n">
        <v>0</v>
      </c>
      <c r="N151" s="5" t="n">
        <v>0.1</v>
      </c>
      <c r="O151" s="5" t="n">
        <v>1</v>
      </c>
      <c r="P151" s="5" t="n">
        <v>0.02</v>
      </c>
      <c r="Q151" s="5" t="n">
        <v>0.2</v>
      </c>
      <c r="R151" s="5" t="n">
        <v>0.1</v>
      </c>
      <c r="S151" s="5" t="n">
        <v>0.05</v>
      </c>
      <c r="T151" s="5" t="n">
        <v>10</v>
      </c>
      <c r="U151" s="5" t="n">
        <v>0.6</v>
      </c>
      <c r="V151" s="5" t="n">
        <v>90</v>
      </c>
      <c r="W151" s="5" t="n">
        <v>0.1</v>
      </c>
      <c r="X151" s="5" t="n">
        <v>8</v>
      </c>
      <c r="Y151" s="5" t="n">
        <v>0.5</v>
      </c>
      <c r="Z151" s="5" t="n">
        <v>110</v>
      </c>
      <c r="AA151" s="7" t="n">
        <v>2.1</v>
      </c>
    </row>
    <row r="152" customFormat="false" ht="26.25" hidden="false" customHeight="true" outlineLevel="0" collapsed="false">
      <c r="A152" s="4" t="s">
        <v>180</v>
      </c>
      <c r="B152" s="4" t="s">
        <v>28</v>
      </c>
      <c r="C152" s="5" t="n">
        <v>2.4</v>
      </c>
      <c r="D152" s="5"/>
      <c r="E152" s="4" t="s">
        <v>29</v>
      </c>
      <c r="F152" s="6" t="s">
        <v>28</v>
      </c>
      <c r="G152" s="5" t="n">
        <v>67</v>
      </c>
      <c r="H152" s="5" t="n">
        <v>0.3</v>
      </c>
      <c r="I152" s="5" t="n">
        <v>13</v>
      </c>
      <c r="J152" s="5" t="n">
        <v>4</v>
      </c>
      <c r="K152" s="5" t="n">
        <v>2</v>
      </c>
      <c r="L152" s="5" t="n">
        <v>0</v>
      </c>
      <c r="M152" s="5" t="n">
        <v>0</v>
      </c>
      <c r="N152" s="5" t="n">
        <v>0</v>
      </c>
      <c r="O152" s="5" t="n">
        <v>0.5</v>
      </c>
      <c r="P152" s="5" t="n">
        <v>0.02</v>
      </c>
      <c r="Q152" s="5" t="n">
        <v>0.22</v>
      </c>
      <c r="R152" s="5" t="n">
        <v>0.1</v>
      </c>
      <c r="S152" s="5" t="n">
        <v>0.05</v>
      </c>
      <c r="T152" s="5" t="n">
        <v>10</v>
      </c>
      <c r="U152" s="5" t="n">
        <v>0.6</v>
      </c>
      <c r="V152" s="5" t="n">
        <v>90</v>
      </c>
      <c r="W152" s="5" t="n">
        <v>0.1</v>
      </c>
      <c r="X152" s="5" t="n">
        <v>8</v>
      </c>
      <c r="Y152" s="5" t="n">
        <v>0.5</v>
      </c>
      <c r="Z152" s="5" t="n">
        <v>120</v>
      </c>
      <c r="AA152" s="7" t="n">
        <v>2.4</v>
      </c>
    </row>
    <row r="153" customFormat="false" ht="26.25" hidden="false" customHeight="true" outlineLevel="0" collapsed="false">
      <c r="A153" s="4" t="s">
        <v>181</v>
      </c>
      <c r="B153" s="4" t="s">
        <v>28</v>
      </c>
      <c r="C153" s="5" t="n">
        <v>4.2</v>
      </c>
      <c r="D153" s="5"/>
      <c r="E153" s="4" t="s">
        <v>29</v>
      </c>
      <c r="F153" s="6" t="s">
        <v>28</v>
      </c>
      <c r="G153" s="5" t="n">
        <v>292</v>
      </c>
      <c r="H153" s="5" t="n">
        <v>30</v>
      </c>
      <c r="I153" s="5" t="n">
        <v>2.4</v>
      </c>
      <c r="J153" s="5" t="n">
        <v>3.4</v>
      </c>
      <c r="K153" s="5" t="n">
        <v>270</v>
      </c>
      <c r="L153" s="5" t="n">
        <v>0.5</v>
      </c>
      <c r="M153" s="5" t="n">
        <v>0</v>
      </c>
      <c r="N153" s="5" t="n">
        <v>0.7</v>
      </c>
      <c r="O153" s="5" t="n">
        <v>3</v>
      </c>
      <c r="P153" s="5" t="n">
        <v>0.02</v>
      </c>
      <c r="Q153" s="5" t="n">
        <v>0.15</v>
      </c>
      <c r="R153" s="5" t="n">
        <v>0.1</v>
      </c>
      <c r="S153" s="5" t="n">
        <v>0.03</v>
      </c>
      <c r="T153" s="5" t="n">
        <v>4</v>
      </c>
      <c r="U153" s="5" t="n">
        <v>0.3</v>
      </c>
      <c r="V153" s="5" t="n">
        <v>80</v>
      </c>
      <c r="W153" s="5" t="n">
        <v>0.1</v>
      </c>
      <c r="X153" s="5" t="n">
        <v>8</v>
      </c>
      <c r="Y153" s="5" t="n">
        <v>0.3</v>
      </c>
      <c r="Z153" s="5" t="n">
        <v>110</v>
      </c>
      <c r="AA153" s="7" t="n">
        <v>1.9</v>
      </c>
    </row>
    <row r="154" customFormat="false" ht="26.25" hidden="false" customHeight="true" outlineLevel="0" collapsed="false">
      <c r="A154" s="4" t="s">
        <v>182</v>
      </c>
      <c r="B154" s="4" t="s">
        <v>28</v>
      </c>
      <c r="C154" s="5" t="n">
        <v>5.3</v>
      </c>
      <c r="D154" s="5"/>
      <c r="E154" s="4" t="s">
        <v>29</v>
      </c>
      <c r="F154" s="6" t="s">
        <v>28</v>
      </c>
      <c r="G154" s="5" t="n">
        <v>292</v>
      </c>
      <c r="H154" s="5" t="n">
        <v>30</v>
      </c>
      <c r="I154" s="5" t="n">
        <v>2.4</v>
      </c>
      <c r="J154" s="5" t="n">
        <v>3.4</v>
      </c>
      <c r="K154" s="5" t="n">
        <v>270</v>
      </c>
      <c r="L154" s="5" t="n">
        <v>0.5</v>
      </c>
      <c r="M154" s="5" t="n">
        <v>0</v>
      </c>
      <c r="N154" s="5" t="n">
        <v>0.7</v>
      </c>
      <c r="O154" s="5" t="n">
        <v>3</v>
      </c>
      <c r="P154" s="5" t="n">
        <v>0.02</v>
      </c>
      <c r="Q154" s="5" t="n">
        <v>0.15</v>
      </c>
      <c r="R154" s="5" t="n">
        <v>0.1</v>
      </c>
      <c r="S154" s="5" t="n">
        <v>0.03</v>
      </c>
      <c r="T154" s="5" t="n">
        <v>4</v>
      </c>
      <c r="U154" s="5" t="n">
        <v>0.3</v>
      </c>
      <c r="V154" s="5" t="n">
        <v>80</v>
      </c>
      <c r="W154" s="5" t="n">
        <v>0.1</v>
      </c>
      <c r="X154" s="5" t="n">
        <v>8</v>
      </c>
      <c r="Y154" s="5" t="n">
        <v>0.3</v>
      </c>
      <c r="Z154" s="5" t="n">
        <v>110</v>
      </c>
      <c r="AA154" s="7" t="n">
        <v>1.9</v>
      </c>
    </row>
    <row r="155" customFormat="false" ht="26.25" hidden="false" customHeight="true" outlineLevel="0" collapsed="false">
      <c r="A155" s="4" t="s">
        <v>183</v>
      </c>
      <c r="B155" s="4" t="s">
        <v>28</v>
      </c>
      <c r="C155" s="5" t="n">
        <v>3</v>
      </c>
      <c r="D155" s="5"/>
      <c r="E155" s="4" t="s">
        <v>29</v>
      </c>
      <c r="F155" s="6" t="s">
        <v>28</v>
      </c>
      <c r="G155" s="5" t="n">
        <v>190</v>
      </c>
      <c r="H155" s="5" t="n">
        <v>18</v>
      </c>
      <c r="I155" s="5" t="n">
        <v>2.9</v>
      </c>
      <c r="J155" s="5" t="n">
        <v>3.6</v>
      </c>
      <c r="K155" s="5" t="n">
        <v>180</v>
      </c>
      <c r="L155" s="5" t="n">
        <v>0.5</v>
      </c>
      <c r="M155" s="5" t="n">
        <v>0</v>
      </c>
      <c r="N155" s="5" t="n">
        <v>0.5</v>
      </c>
      <c r="O155" s="5" t="n">
        <v>2</v>
      </c>
      <c r="P155" s="5" t="n">
        <v>0.02</v>
      </c>
      <c r="Q155" s="5" t="n">
        <v>0.15</v>
      </c>
      <c r="R155" s="5" t="n">
        <v>0.1</v>
      </c>
      <c r="S155" s="5" t="n">
        <v>0.03</v>
      </c>
      <c r="T155" s="5" t="n">
        <v>4</v>
      </c>
      <c r="U155" s="5" t="n">
        <v>0.3</v>
      </c>
      <c r="V155" s="5" t="n">
        <v>90</v>
      </c>
      <c r="W155" s="5" t="n">
        <v>0.1</v>
      </c>
      <c r="X155" s="5" t="n">
        <v>8</v>
      </c>
      <c r="Y155" s="5" t="n">
        <v>0.3</v>
      </c>
      <c r="Z155" s="5" t="n">
        <v>120</v>
      </c>
      <c r="AA155" s="7" t="n">
        <v>2</v>
      </c>
    </row>
    <row r="156" customFormat="false" ht="26.25" hidden="false" customHeight="true" outlineLevel="0" collapsed="false">
      <c r="A156" s="4" t="s">
        <v>184</v>
      </c>
      <c r="B156" s="4" t="s">
        <v>28</v>
      </c>
      <c r="C156" s="5" t="n">
        <v>3</v>
      </c>
      <c r="D156" s="5"/>
      <c r="E156" s="4" t="s">
        <v>29</v>
      </c>
      <c r="F156" s="6" t="s">
        <v>28</v>
      </c>
      <c r="G156" s="5" t="n">
        <v>155</v>
      </c>
      <c r="H156" s="5" t="n">
        <v>11</v>
      </c>
      <c r="I156" s="5" t="n">
        <v>13</v>
      </c>
      <c r="J156" s="5" t="n">
        <v>1.1</v>
      </c>
      <c r="K156" s="5" t="n">
        <v>160</v>
      </c>
      <c r="L156" s="5" t="n">
        <v>0</v>
      </c>
      <c r="M156" s="5" t="n">
        <v>2</v>
      </c>
      <c r="N156" s="5" t="n">
        <v>1</v>
      </c>
      <c r="O156" s="5" t="n">
        <v>0.3</v>
      </c>
      <c r="P156" s="5" t="n">
        <v>0.07</v>
      </c>
      <c r="Q156" s="5" t="n">
        <v>0.5</v>
      </c>
      <c r="R156" s="5" t="n">
        <v>0.1</v>
      </c>
      <c r="S156" s="5" t="n">
        <v>0.17</v>
      </c>
      <c r="T156" s="5" t="n">
        <v>47</v>
      </c>
      <c r="U156" s="5" t="n">
        <v>0.9</v>
      </c>
      <c r="V156" s="5" t="n">
        <v>50</v>
      </c>
      <c r="W156" s="5" t="n">
        <v>1.8</v>
      </c>
      <c r="X156" s="5" t="n">
        <v>12</v>
      </c>
      <c r="Y156" s="5" t="n">
        <v>1.3</v>
      </c>
      <c r="Z156" s="5" t="n">
        <v>140</v>
      </c>
      <c r="AA156" s="7" t="n">
        <v>0</v>
      </c>
    </row>
    <row r="157" customFormat="false" ht="26.25" hidden="false" customHeight="true" outlineLevel="0" collapsed="false">
      <c r="A157" s="4" t="s">
        <v>185</v>
      </c>
      <c r="B157" s="4" t="s">
        <v>28</v>
      </c>
      <c r="C157" s="5" t="n">
        <v>2.3</v>
      </c>
      <c r="D157" s="5"/>
      <c r="E157" s="4" t="s">
        <v>29</v>
      </c>
      <c r="F157" s="6" t="s">
        <v>28</v>
      </c>
      <c r="G157" s="5" t="n">
        <v>862</v>
      </c>
      <c r="H157" s="5" t="n">
        <v>100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0.1</v>
      </c>
      <c r="O157" s="5" t="n">
        <v>0.5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0.04</v>
      </c>
      <c r="X157" s="5" t="n">
        <v>0</v>
      </c>
      <c r="Y157" s="5" t="n">
        <v>0</v>
      </c>
      <c r="Z157" s="5" t="n">
        <v>1</v>
      </c>
      <c r="AA157" s="7" t="n">
        <v>0</v>
      </c>
    </row>
    <row r="158" customFormat="false" ht="26.25" hidden="false" customHeight="true" outlineLevel="0" collapsed="false">
      <c r="A158" s="4" t="s">
        <v>186</v>
      </c>
      <c r="B158" s="4" t="s">
        <v>28</v>
      </c>
      <c r="C158" s="5" t="n">
        <v>2.8</v>
      </c>
      <c r="D158" s="5"/>
      <c r="E158" s="4" t="s">
        <v>29</v>
      </c>
      <c r="F158" s="6" t="s">
        <v>28</v>
      </c>
      <c r="G158" s="5" t="n">
        <v>720</v>
      </c>
      <c r="H158" s="5" t="n">
        <v>80</v>
      </c>
      <c r="I158" s="5" t="n">
        <v>0.2</v>
      </c>
      <c r="J158" s="5" t="n">
        <v>0.5</v>
      </c>
      <c r="K158" s="5" t="n">
        <v>800</v>
      </c>
      <c r="L158" s="5" t="n">
        <v>0</v>
      </c>
      <c r="M158" s="5" t="n">
        <v>7.5</v>
      </c>
      <c r="N158" s="5" t="n">
        <v>15</v>
      </c>
      <c r="O158" s="5" t="n">
        <v>60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5</v>
      </c>
      <c r="W158" s="5" t="n">
        <v>0.1</v>
      </c>
      <c r="X158" s="5" t="n">
        <v>1</v>
      </c>
      <c r="Y158" s="5" t="n">
        <v>0.1</v>
      </c>
      <c r="Z158" s="5" t="n">
        <v>20</v>
      </c>
      <c r="AA158" s="7" t="n">
        <v>0</v>
      </c>
    </row>
    <row r="159" customFormat="false" ht="26.25" hidden="false" customHeight="true" outlineLevel="0" collapsed="false">
      <c r="A159" s="4" t="s">
        <v>187</v>
      </c>
      <c r="B159" s="4" t="s">
        <v>28</v>
      </c>
      <c r="C159" s="5" t="n">
        <v>2.5</v>
      </c>
      <c r="D159" s="5"/>
      <c r="E159" s="4" t="s">
        <v>29</v>
      </c>
      <c r="F159" s="6" t="s">
        <v>28</v>
      </c>
      <c r="G159" s="5" t="n">
        <v>720</v>
      </c>
      <c r="H159" s="5" t="n">
        <v>80</v>
      </c>
      <c r="I159" s="5" t="n">
        <v>0.2</v>
      </c>
      <c r="J159" s="5" t="n">
        <v>0.5</v>
      </c>
      <c r="K159" s="5" t="n">
        <v>800</v>
      </c>
      <c r="L159" s="5" t="n">
        <v>0</v>
      </c>
      <c r="M159" s="5" t="n">
        <v>7.5</v>
      </c>
      <c r="N159" s="5" t="n">
        <v>15</v>
      </c>
      <c r="O159" s="5" t="n">
        <v>60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5</v>
      </c>
      <c r="W159" s="5" t="n">
        <v>0.1</v>
      </c>
      <c r="X159" s="5" t="n">
        <v>1</v>
      </c>
      <c r="Y159" s="5" t="n">
        <v>0.1</v>
      </c>
      <c r="Z159" s="5" t="n">
        <v>20</v>
      </c>
      <c r="AA159" s="7" t="n">
        <v>0</v>
      </c>
    </row>
    <row r="160" customFormat="false" ht="26.25" hidden="false" customHeight="true" outlineLevel="0" collapsed="false">
      <c r="A160" s="4" t="s">
        <v>188</v>
      </c>
      <c r="B160" s="4" t="s">
        <v>28</v>
      </c>
      <c r="C160" s="5" t="n">
        <v>1.7</v>
      </c>
      <c r="D160" s="5"/>
      <c r="E160" s="4" t="s">
        <v>29</v>
      </c>
      <c r="F160" s="6" t="s">
        <v>28</v>
      </c>
      <c r="G160" s="5" t="n">
        <v>530</v>
      </c>
      <c r="H160" s="5" t="n">
        <v>58</v>
      </c>
      <c r="I160" s="5" t="n">
        <v>0.2</v>
      </c>
      <c r="J160" s="5" t="n">
        <v>1</v>
      </c>
      <c r="K160" s="5" t="n">
        <v>600</v>
      </c>
      <c r="L160" s="5" t="n">
        <v>0</v>
      </c>
      <c r="M160" s="5" t="n">
        <v>5</v>
      </c>
      <c r="N160" s="5" t="n">
        <v>10</v>
      </c>
      <c r="O160" s="5" t="n">
        <v>40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5</v>
      </c>
      <c r="W160" s="5" t="n">
        <v>0.1</v>
      </c>
      <c r="X160" s="5" t="n">
        <v>1</v>
      </c>
      <c r="Y160" s="5" t="n">
        <v>0.1</v>
      </c>
      <c r="Z160" s="5" t="n">
        <v>20</v>
      </c>
      <c r="AA160" s="7" t="n">
        <v>0</v>
      </c>
    </row>
    <row r="161" customFormat="false" ht="26.25" hidden="false" customHeight="true" outlineLevel="0" collapsed="false">
      <c r="A161" s="4" t="s">
        <v>189</v>
      </c>
      <c r="B161" s="4" t="s">
        <v>28</v>
      </c>
      <c r="C161" s="5" t="n">
        <v>3.2</v>
      </c>
      <c r="D161" s="5"/>
      <c r="E161" s="4" t="s">
        <v>29</v>
      </c>
      <c r="F161" s="6" t="s">
        <v>28</v>
      </c>
      <c r="G161" s="5" t="n">
        <v>824</v>
      </c>
      <c r="H161" s="5" t="n">
        <v>92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14</v>
      </c>
      <c r="O161" s="5" t="n">
        <v>60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1</v>
      </c>
      <c r="W161" s="5" t="n">
        <v>0.6</v>
      </c>
      <c r="X161" s="5" t="n">
        <v>0</v>
      </c>
      <c r="Y161" s="5" t="n">
        <v>0</v>
      </c>
      <c r="Z161" s="5" t="n">
        <v>1</v>
      </c>
      <c r="AA161" s="7" t="n">
        <v>0</v>
      </c>
    </row>
    <row r="162" customFormat="false" ht="26.25" hidden="false" customHeight="true" outlineLevel="0" collapsed="false">
      <c r="A162" s="4" t="s">
        <v>190</v>
      </c>
      <c r="B162" s="4" t="s">
        <v>28</v>
      </c>
      <c r="C162" s="5" t="n">
        <v>3.3</v>
      </c>
      <c r="D162" s="5"/>
      <c r="E162" s="4" t="s">
        <v>29</v>
      </c>
      <c r="F162" s="6" t="s">
        <v>28</v>
      </c>
      <c r="G162" s="5" t="n">
        <v>828</v>
      </c>
      <c r="H162" s="5" t="n">
        <v>92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17</v>
      </c>
      <c r="O162" s="5" t="n">
        <v>71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7" t="n">
        <v>0</v>
      </c>
    </row>
    <row r="163" customFormat="false" ht="26.25" hidden="false" customHeight="true" outlineLevel="0" collapsed="false">
      <c r="A163" s="4" t="s">
        <v>191</v>
      </c>
      <c r="B163" s="4" t="s">
        <v>28</v>
      </c>
      <c r="C163" s="5" t="n">
        <v>3.2</v>
      </c>
      <c r="D163" s="5"/>
      <c r="E163" s="4" t="s">
        <v>29</v>
      </c>
      <c r="F163" s="6" t="s">
        <v>28</v>
      </c>
      <c r="G163" s="5" t="n">
        <v>824</v>
      </c>
      <c r="H163" s="5" t="n">
        <v>92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49</v>
      </c>
      <c r="O163" s="5" t="n">
        <v>5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0.1</v>
      </c>
      <c r="X163" s="5" t="n">
        <v>0</v>
      </c>
      <c r="Y163" s="5" t="n">
        <v>0</v>
      </c>
      <c r="Z163" s="5" t="n">
        <v>1</v>
      </c>
      <c r="AA163" s="7" t="n">
        <v>0</v>
      </c>
    </row>
    <row r="164" customFormat="false" ht="26.25" hidden="false" customHeight="true" outlineLevel="0" collapsed="false">
      <c r="A164" s="4" t="s">
        <v>192</v>
      </c>
      <c r="B164" s="4" t="s">
        <v>28</v>
      </c>
      <c r="C164" s="5" t="n">
        <v>2</v>
      </c>
      <c r="D164" s="5"/>
      <c r="E164" s="4" t="s">
        <v>29</v>
      </c>
      <c r="F164" s="6" t="s">
        <v>28</v>
      </c>
      <c r="G164" s="5" t="n">
        <v>304</v>
      </c>
      <c r="H164" s="5" t="n">
        <v>0</v>
      </c>
      <c r="I164" s="5" t="n">
        <v>0.3</v>
      </c>
      <c r="J164" s="5" t="n">
        <v>82</v>
      </c>
      <c r="K164" s="5" t="n">
        <v>0</v>
      </c>
      <c r="L164" s="5" t="n">
        <v>0.5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0.04</v>
      </c>
      <c r="R164" s="5" t="n">
        <v>0.1</v>
      </c>
      <c r="S164" s="5" t="n">
        <v>0.02</v>
      </c>
      <c r="T164" s="5" t="n">
        <v>2</v>
      </c>
      <c r="U164" s="5" t="n">
        <v>0</v>
      </c>
      <c r="V164" s="5" t="n">
        <v>6</v>
      </c>
      <c r="W164" s="5" t="n">
        <v>0.4</v>
      </c>
      <c r="X164" s="5" t="n">
        <v>2</v>
      </c>
      <c r="Y164" s="5" t="n">
        <v>0.2</v>
      </c>
      <c r="Z164" s="5" t="n">
        <v>52</v>
      </c>
      <c r="AA164" s="7" t="n">
        <v>77.9</v>
      </c>
    </row>
    <row r="165" customFormat="false" ht="26.25" hidden="false" customHeight="true" outlineLevel="0" collapsed="false">
      <c r="A165" s="4" t="s">
        <v>193</v>
      </c>
      <c r="B165" s="4" t="s">
        <v>28</v>
      </c>
      <c r="C165" s="5" t="n">
        <v>5</v>
      </c>
      <c r="D165" s="5"/>
      <c r="E165" s="4" t="s">
        <v>29</v>
      </c>
      <c r="F165" s="6" t="s">
        <v>28</v>
      </c>
      <c r="G165" s="5" t="n">
        <v>228</v>
      </c>
      <c r="H165" s="5" t="n">
        <v>14</v>
      </c>
      <c r="I165" s="5" t="n">
        <v>20</v>
      </c>
      <c r="J165" s="5" t="n">
        <v>58</v>
      </c>
      <c r="K165" s="5" t="n">
        <v>3</v>
      </c>
      <c r="L165" s="5" t="n">
        <v>0</v>
      </c>
      <c r="M165" s="5" t="n">
        <v>0</v>
      </c>
      <c r="N165" s="5" t="n">
        <v>0.1</v>
      </c>
      <c r="O165" s="5" t="n">
        <v>3</v>
      </c>
      <c r="P165" s="5" t="n">
        <v>0.08</v>
      </c>
      <c r="Q165" s="5" t="n">
        <v>0.2</v>
      </c>
      <c r="R165" s="5" t="n">
        <v>2.2</v>
      </c>
      <c r="S165" s="5" t="n">
        <v>0.12</v>
      </c>
      <c r="T165" s="5" t="n">
        <v>32</v>
      </c>
      <c r="U165" s="5" t="n">
        <v>0</v>
      </c>
      <c r="V165" s="5" t="n">
        <v>128</v>
      </c>
      <c r="W165" s="5" t="n">
        <v>14</v>
      </c>
      <c r="X165" s="5" t="n">
        <v>499</v>
      </c>
      <c r="Y165" s="5" t="n">
        <v>6.8</v>
      </c>
      <c r="Z165" s="5" t="n">
        <v>1500</v>
      </c>
      <c r="AA165" s="7" t="n">
        <v>2.9</v>
      </c>
    </row>
    <row r="166" customFormat="false" ht="26.25" hidden="false" customHeight="true" outlineLevel="0" collapsed="false">
      <c r="A166" s="4" t="s">
        <v>194</v>
      </c>
      <c r="B166" s="4" t="s">
        <v>28</v>
      </c>
      <c r="C166" s="5" t="n">
        <v>4.1</v>
      </c>
      <c r="D166" s="5"/>
      <c r="E166" s="4" t="s">
        <v>29</v>
      </c>
      <c r="F166" s="6" t="s">
        <v>28</v>
      </c>
      <c r="G166" s="5" t="n">
        <v>534</v>
      </c>
      <c r="H166" s="5" t="n">
        <v>30</v>
      </c>
      <c r="I166" s="5" t="n">
        <v>7.6</v>
      </c>
      <c r="J166" s="5" t="n">
        <v>58</v>
      </c>
      <c r="K166" s="5" t="n">
        <v>50</v>
      </c>
      <c r="L166" s="5" t="n">
        <v>0</v>
      </c>
      <c r="M166" s="5" t="n">
        <v>0.2</v>
      </c>
      <c r="N166" s="5" t="n">
        <v>0.7</v>
      </c>
      <c r="O166" s="5" t="n">
        <v>4</v>
      </c>
      <c r="P166" s="5" t="n">
        <v>0.08</v>
      </c>
      <c r="Q166" s="5" t="n">
        <v>0.25</v>
      </c>
      <c r="R166" s="5" t="n">
        <v>0.5</v>
      </c>
      <c r="S166" s="5" t="n">
        <v>0.05</v>
      </c>
      <c r="T166" s="5" t="n">
        <v>10</v>
      </c>
      <c r="U166" s="5" t="n">
        <v>0.3</v>
      </c>
      <c r="V166" s="5" t="n">
        <v>220</v>
      </c>
      <c r="W166" s="5" t="n">
        <v>1.5</v>
      </c>
      <c r="X166" s="5" t="n">
        <v>55</v>
      </c>
      <c r="Y166" s="5" t="n">
        <v>1</v>
      </c>
      <c r="Z166" s="5" t="n">
        <v>400</v>
      </c>
      <c r="AA166" s="7" t="n">
        <v>49.3</v>
      </c>
    </row>
    <row r="167" customFormat="false" ht="26.25" hidden="false" customHeight="true" outlineLevel="0" collapsed="false">
      <c r="A167" s="4" t="s">
        <v>195</v>
      </c>
      <c r="B167" s="4" t="s">
        <v>28</v>
      </c>
      <c r="C167" s="5" t="n">
        <v>1</v>
      </c>
      <c r="D167" s="5"/>
      <c r="E167" s="4" t="s">
        <v>29</v>
      </c>
      <c r="F167" s="6" t="s">
        <v>28</v>
      </c>
      <c r="G167" s="5" t="n">
        <v>400</v>
      </c>
      <c r="H167" s="5" t="n">
        <v>0</v>
      </c>
      <c r="I167" s="5" t="n">
        <v>0</v>
      </c>
      <c r="J167" s="5" t="n">
        <v>100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5</v>
      </c>
      <c r="W167" s="5" t="n">
        <v>0.5</v>
      </c>
      <c r="X167" s="5" t="n">
        <v>3</v>
      </c>
      <c r="Y167" s="5" t="n">
        <v>0.1</v>
      </c>
      <c r="Z167" s="5" t="n">
        <v>20</v>
      </c>
      <c r="AA167" s="7" t="n">
        <v>98</v>
      </c>
    </row>
    <row r="168" customFormat="false" ht="26.25" hidden="false" customHeight="true" outlineLevel="0" collapsed="false">
      <c r="A168" s="4" t="s">
        <v>196</v>
      </c>
      <c r="B168" s="4" t="s">
        <v>28</v>
      </c>
      <c r="C168" s="5" t="n">
        <v>0.9</v>
      </c>
      <c r="D168" s="5"/>
      <c r="E168" s="4" t="s">
        <v>29</v>
      </c>
      <c r="F168" s="6" t="s">
        <v>28</v>
      </c>
      <c r="G168" s="5" t="n">
        <v>400</v>
      </c>
      <c r="H168" s="5" t="n">
        <v>0</v>
      </c>
      <c r="I168" s="5" t="n">
        <v>0</v>
      </c>
      <c r="J168" s="5" t="n">
        <v>100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5</v>
      </c>
      <c r="W168" s="5" t="n">
        <v>0.5</v>
      </c>
      <c r="X168" s="5" t="n">
        <v>3</v>
      </c>
      <c r="Y168" s="5" t="n">
        <v>0.1</v>
      </c>
      <c r="Z168" s="5" t="n">
        <v>20</v>
      </c>
      <c r="AA168" s="7" t="n">
        <v>98</v>
      </c>
    </row>
    <row r="169" customFormat="false" ht="26.25" hidden="false" customHeight="true" outlineLevel="0" collapsed="false">
      <c r="A169" s="4" t="s">
        <v>197</v>
      </c>
      <c r="B169" s="4" t="s">
        <v>28</v>
      </c>
      <c r="C169" s="5" t="n">
        <v>5.6</v>
      </c>
      <c r="D169" s="5"/>
      <c r="E169" s="4" t="s">
        <v>29</v>
      </c>
      <c r="F169" s="6" t="s">
        <v>28</v>
      </c>
      <c r="G169" s="5" t="n">
        <v>331</v>
      </c>
      <c r="H169" s="5" t="n">
        <v>21</v>
      </c>
      <c r="I169" s="5" t="n">
        <v>14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0.01</v>
      </c>
      <c r="Q169" s="5" t="n">
        <v>0.2</v>
      </c>
      <c r="R169" s="5" t="n">
        <v>14</v>
      </c>
      <c r="S169" s="5" t="n">
        <v>0.03</v>
      </c>
      <c r="T169" s="5" t="n">
        <v>0</v>
      </c>
      <c r="U169" s="5" t="n">
        <v>0</v>
      </c>
      <c r="V169" s="5" t="n">
        <v>140</v>
      </c>
      <c r="W169" s="5" t="n">
        <v>4</v>
      </c>
      <c r="X169" s="5" t="n">
        <v>170</v>
      </c>
      <c r="Y169" s="5" t="n">
        <v>0.5</v>
      </c>
      <c r="Z169" s="5" t="n">
        <v>2000</v>
      </c>
      <c r="AA169" s="7" t="n">
        <v>0</v>
      </c>
    </row>
    <row r="170" customFormat="false" ht="26.25" hidden="false" customHeight="true" outlineLevel="0" collapsed="false">
      <c r="A170" s="4" t="s">
        <v>198</v>
      </c>
      <c r="B170" s="4" t="s">
        <v>28</v>
      </c>
      <c r="C170" s="5" t="n">
        <v>0.9</v>
      </c>
      <c r="D170" s="5"/>
      <c r="E170" s="4" t="s">
        <v>29</v>
      </c>
      <c r="F170" s="6" t="s">
        <v>28</v>
      </c>
      <c r="G170" s="5" t="n">
        <v>43</v>
      </c>
      <c r="H170" s="5" t="n">
        <v>0</v>
      </c>
      <c r="I170" s="5" t="n">
        <v>0.5</v>
      </c>
      <c r="J170" s="5" t="n">
        <v>3.5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0.01</v>
      </c>
      <c r="Q170" s="5" t="n">
        <v>0.03</v>
      </c>
      <c r="R170" s="5" t="n">
        <v>0.6</v>
      </c>
      <c r="S170" s="5" t="n">
        <v>0.05</v>
      </c>
      <c r="T170" s="5" t="n">
        <v>6</v>
      </c>
      <c r="U170" s="5" t="n">
        <v>0</v>
      </c>
      <c r="V170" s="5" t="n">
        <v>5</v>
      </c>
      <c r="W170" s="5" t="n">
        <v>0.02</v>
      </c>
      <c r="X170" s="5" t="n">
        <v>7</v>
      </c>
      <c r="Y170" s="5" t="n">
        <v>0.02</v>
      </c>
      <c r="Z170" s="5" t="n">
        <v>27</v>
      </c>
      <c r="AA170" s="7" t="n">
        <v>0.1</v>
      </c>
    </row>
    <row r="171" customFormat="false" ht="26.25" hidden="false" customHeight="true" outlineLevel="0" collapsed="false">
      <c r="A171" s="4" t="s">
        <v>199</v>
      </c>
      <c r="B171" s="4" t="s">
        <v>28</v>
      </c>
      <c r="C171" s="5" t="n">
        <v>1</v>
      </c>
      <c r="D171" s="5"/>
      <c r="E171" s="4" t="s">
        <v>29</v>
      </c>
      <c r="F171" s="6" t="s">
        <v>28</v>
      </c>
      <c r="G171" s="5" t="n">
        <v>43</v>
      </c>
      <c r="H171" s="5" t="n">
        <v>0</v>
      </c>
      <c r="I171" s="5" t="n">
        <v>0.5</v>
      </c>
      <c r="J171" s="5" t="n">
        <v>3.5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0.01</v>
      </c>
      <c r="Q171" s="5" t="n">
        <v>0.03</v>
      </c>
      <c r="R171" s="5" t="n">
        <v>0.6</v>
      </c>
      <c r="S171" s="5" t="n">
        <v>0.05</v>
      </c>
      <c r="T171" s="5" t="n">
        <v>6</v>
      </c>
      <c r="U171" s="5" t="n">
        <v>0</v>
      </c>
      <c r="V171" s="5" t="n">
        <v>5</v>
      </c>
      <c r="W171" s="5" t="n">
        <v>0.02</v>
      </c>
      <c r="X171" s="5" t="n">
        <v>7</v>
      </c>
      <c r="Y171" s="5" t="n">
        <v>0.02</v>
      </c>
      <c r="Z171" s="5" t="n">
        <v>27</v>
      </c>
      <c r="AA171" s="7" t="n">
        <v>0.1</v>
      </c>
    </row>
    <row r="172" customFormat="false" ht="26.25" hidden="false" customHeight="true" outlineLevel="0" collapsed="false">
      <c r="A172" s="4" t="s">
        <v>200</v>
      </c>
      <c r="B172" s="4" t="s">
        <v>28</v>
      </c>
      <c r="C172" s="5" t="n">
        <v>1</v>
      </c>
      <c r="D172" s="5"/>
      <c r="E172" s="4" t="s">
        <v>29</v>
      </c>
      <c r="F172" s="6" t="s">
        <v>28</v>
      </c>
      <c r="G172" s="5" t="n">
        <v>85</v>
      </c>
      <c r="H172" s="5" t="n">
        <v>0</v>
      </c>
      <c r="I172" s="5" t="n">
        <v>0.1</v>
      </c>
      <c r="J172" s="5" t="n">
        <v>2.6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0.01</v>
      </c>
      <c r="R172" s="5" t="n">
        <v>0.1</v>
      </c>
      <c r="S172" s="5" t="n">
        <v>0.03</v>
      </c>
      <c r="T172" s="5" t="n">
        <v>2</v>
      </c>
      <c r="U172" s="5" t="n">
        <v>0</v>
      </c>
      <c r="V172" s="5" t="n">
        <v>8</v>
      </c>
      <c r="W172" s="5" t="n">
        <v>0.5</v>
      </c>
      <c r="X172" s="5" t="n">
        <v>10</v>
      </c>
      <c r="Y172" s="5" t="n">
        <v>0.1</v>
      </c>
      <c r="Z172" s="5" t="n">
        <v>100</v>
      </c>
      <c r="AA172" s="7" t="n">
        <v>0.1</v>
      </c>
    </row>
    <row r="173" customFormat="false" ht="26.25" hidden="false" customHeight="true" outlineLevel="0" collapsed="false">
      <c r="A173" s="4" t="s">
        <v>201</v>
      </c>
      <c r="B173" s="4" t="s">
        <v>28</v>
      </c>
      <c r="C173" s="5" t="n">
        <v>0.4</v>
      </c>
      <c r="D173" s="5"/>
      <c r="E173" s="4" t="s">
        <v>29</v>
      </c>
      <c r="F173" s="6" t="s">
        <v>28</v>
      </c>
      <c r="G173" s="5" t="n">
        <v>46</v>
      </c>
      <c r="H173" s="5" t="n">
        <v>0.1</v>
      </c>
      <c r="I173" s="5" t="n">
        <v>0.1</v>
      </c>
      <c r="J173" s="5" t="n">
        <v>11</v>
      </c>
      <c r="K173" s="5" t="n">
        <v>0</v>
      </c>
      <c r="L173" s="5" t="n">
        <v>1</v>
      </c>
      <c r="M173" s="5" t="n">
        <v>0</v>
      </c>
      <c r="N173" s="5" t="n">
        <v>0</v>
      </c>
      <c r="O173" s="5" t="n">
        <v>0</v>
      </c>
      <c r="P173" s="5" t="n">
        <v>0.01</v>
      </c>
      <c r="Q173" s="5" t="n">
        <v>0.01</v>
      </c>
      <c r="R173" s="5" t="n">
        <v>0.1</v>
      </c>
      <c r="S173" s="5" t="n">
        <v>0.02</v>
      </c>
      <c r="T173" s="5" t="n">
        <v>0</v>
      </c>
      <c r="U173" s="5" t="n">
        <v>0</v>
      </c>
      <c r="V173" s="5" t="n">
        <v>6</v>
      </c>
      <c r="W173" s="5" t="n">
        <v>0.3</v>
      </c>
      <c r="X173" s="5" t="n">
        <v>5</v>
      </c>
      <c r="Y173" s="5" t="n">
        <v>0.04</v>
      </c>
      <c r="Z173" s="5" t="n">
        <v>110</v>
      </c>
      <c r="AA173" s="7" t="n">
        <v>9.9</v>
      </c>
    </row>
    <row r="174" customFormat="false" ht="26.25" hidden="false" customHeight="true" outlineLevel="0" collapsed="false">
      <c r="A174" s="4" t="s">
        <v>202</v>
      </c>
      <c r="B174" s="4" t="s">
        <v>28</v>
      </c>
      <c r="C174" s="5" t="n">
        <v>0.7</v>
      </c>
      <c r="D174" s="5"/>
      <c r="E174" s="4" t="s">
        <v>29</v>
      </c>
      <c r="F174" s="6" t="s">
        <v>28</v>
      </c>
      <c r="G174" s="5" t="n">
        <v>45</v>
      </c>
      <c r="H174" s="5" t="n">
        <v>0.2</v>
      </c>
      <c r="I174" s="5" t="n">
        <v>0.7</v>
      </c>
      <c r="J174" s="5" t="n">
        <v>10</v>
      </c>
      <c r="K174" s="5" t="n">
        <v>3</v>
      </c>
      <c r="L174" s="5" t="n">
        <v>40</v>
      </c>
      <c r="M174" s="5" t="n">
        <v>0</v>
      </c>
      <c r="N174" s="5" t="n">
        <v>0.1</v>
      </c>
      <c r="O174" s="5" t="n">
        <v>0</v>
      </c>
      <c r="P174" s="5" t="n">
        <v>0.06</v>
      </c>
      <c r="Q174" s="5" t="n">
        <v>0.02</v>
      </c>
      <c r="R174" s="5" t="n">
        <v>0.2</v>
      </c>
      <c r="S174" s="5" t="n">
        <v>0.04</v>
      </c>
      <c r="T174" s="5" t="n">
        <v>20</v>
      </c>
      <c r="U174" s="5" t="n">
        <v>0</v>
      </c>
      <c r="V174" s="5" t="n">
        <v>11</v>
      </c>
      <c r="W174" s="5" t="n">
        <v>0.2</v>
      </c>
      <c r="X174" s="5" t="n">
        <v>10</v>
      </c>
      <c r="Y174" s="5" t="n">
        <v>0.05</v>
      </c>
      <c r="Z174" s="5" t="n">
        <v>180</v>
      </c>
      <c r="AA174" s="7" t="n">
        <v>9</v>
      </c>
    </row>
    <row r="175" customFormat="false" ht="26.25" hidden="false" customHeight="true" outlineLevel="0" collapsed="false">
      <c r="A175" s="4" t="s">
        <v>203</v>
      </c>
      <c r="B175" s="4" t="s">
        <v>28</v>
      </c>
      <c r="C175" s="5" t="n">
        <v>0.4</v>
      </c>
      <c r="D175" s="5"/>
      <c r="E175" s="4" t="s">
        <v>29</v>
      </c>
      <c r="F175" s="6" t="s">
        <v>28</v>
      </c>
      <c r="G175" s="5" t="n">
        <v>42</v>
      </c>
      <c r="H175" s="5" t="n">
        <v>0</v>
      </c>
      <c r="I175" s="5" t="n">
        <v>0</v>
      </c>
      <c r="J175" s="5" t="n">
        <v>10.5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3</v>
      </c>
      <c r="W175" s="5" t="n">
        <v>0.02</v>
      </c>
      <c r="X175" s="5" t="n">
        <v>2</v>
      </c>
      <c r="Y175" s="5" t="n">
        <v>0.02</v>
      </c>
      <c r="Z175" s="5" t="n">
        <v>3</v>
      </c>
      <c r="AA175" s="7" t="n">
        <v>10.3</v>
      </c>
    </row>
    <row r="176" customFormat="false" ht="26.25" hidden="false" customHeight="true" outlineLevel="0" collapsed="false">
      <c r="A176" s="4" t="s">
        <v>204</v>
      </c>
      <c r="B176" s="4" t="s">
        <v>28</v>
      </c>
      <c r="C176" s="5" t="n">
        <v>0.2</v>
      </c>
      <c r="D176" s="5"/>
      <c r="E176" s="4" t="s">
        <v>29</v>
      </c>
      <c r="F176" s="6" t="s">
        <v>28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8</v>
      </c>
      <c r="W176" s="5" t="n">
        <v>0</v>
      </c>
      <c r="X176" s="5" t="n">
        <v>3</v>
      </c>
      <c r="Y176" s="5" t="n">
        <v>0</v>
      </c>
      <c r="Z176" s="5" t="n">
        <v>2</v>
      </c>
      <c r="AA176" s="7" t="n">
        <v>0</v>
      </c>
    </row>
    <row r="177" customFormat="false" ht="15" hidden="false" customHeight="true" outlineLevel="0" collapsed="false">
      <c r="A177" s="4" t="s">
        <v>205</v>
      </c>
      <c r="B177" s="4" t="s">
        <v>106</v>
      </c>
      <c r="C177" s="5" t="n">
        <v>0.006</v>
      </c>
      <c r="D177" s="5"/>
      <c r="E177" s="4" t="s">
        <v>29</v>
      </c>
      <c r="F177" s="6" t="s">
        <v>106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5</v>
      </c>
      <c r="W177" s="5" t="n">
        <v>0</v>
      </c>
      <c r="X177" s="5" t="n">
        <v>2</v>
      </c>
      <c r="Y177" s="5" t="n">
        <v>0</v>
      </c>
      <c r="Z177" s="5" t="n">
        <v>1</v>
      </c>
      <c r="AA177" s="7" t="n">
        <v>0</v>
      </c>
    </row>
    <row r="178" customFormat="false" ht="26.25" hidden="false" customHeight="true" outlineLevel="0" collapsed="false">
      <c r="A178" s="4" t="s">
        <v>206</v>
      </c>
      <c r="B178" s="4" t="s">
        <v>28</v>
      </c>
      <c r="C178" s="5" t="n">
        <v>0.7</v>
      </c>
      <c r="D178" s="5"/>
      <c r="E178" s="4" t="s">
        <v>29</v>
      </c>
      <c r="F178" s="6" t="s">
        <v>28</v>
      </c>
      <c r="G178" s="5" t="n">
        <v>155</v>
      </c>
      <c r="H178" s="5" t="n">
        <v>5</v>
      </c>
      <c r="I178" s="5" t="n">
        <v>2.5</v>
      </c>
      <c r="J178" s="5" t="n">
        <v>25</v>
      </c>
      <c r="K178" s="5" t="n">
        <v>0</v>
      </c>
      <c r="L178" s="5" t="n">
        <v>5</v>
      </c>
      <c r="M178" s="5" t="n">
        <v>0</v>
      </c>
      <c r="N178" s="5" t="n">
        <v>0.3</v>
      </c>
      <c r="O178" s="5" t="n">
        <v>3</v>
      </c>
      <c r="P178" s="5" t="n">
        <v>0.08</v>
      </c>
      <c r="Q178" s="5" t="n">
        <v>0.02</v>
      </c>
      <c r="R178" s="5" t="n">
        <v>1.5</v>
      </c>
      <c r="S178" s="5" t="n">
        <v>0.25</v>
      </c>
      <c r="T178" s="5" t="n">
        <v>15</v>
      </c>
      <c r="U178" s="5" t="n">
        <v>0</v>
      </c>
      <c r="V178" s="5" t="n">
        <v>10</v>
      </c>
      <c r="W178" s="5" t="n">
        <v>0.5</v>
      </c>
      <c r="X178" s="5" t="n">
        <v>20</v>
      </c>
      <c r="Y178" s="5" t="n">
        <v>0.3</v>
      </c>
      <c r="Z178" s="5" t="n">
        <v>450</v>
      </c>
      <c r="AA178" s="7" t="n">
        <v>0.5</v>
      </c>
    </row>
    <row r="179" customFormat="false" ht="51.75" hidden="false" customHeight="true" outlineLevel="0" collapsed="false">
      <c r="A179" s="4" t="s">
        <v>207</v>
      </c>
      <c r="B179" s="4" t="s">
        <v>208</v>
      </c>
      <c r="C179" s="5" t="n">
        <v>39.72</v>
      </c>
      <c r="D179" s="5" t="n">
        <v>39.72</v>
      </c>
      <c r="E179" s="4" t="s">
        <v>29</v>
      </c>
      <c r="F179" s="6" t="s">
        <v>209</v>
      </c>
      <c r="G179" s="5" t="n">
        <v>250</v>
      </c>
      <c r="H179" s="5" t="n">
        <v>17</v>
      </c>
      <c r="I179" s="5" t="n">
        <v>25</v>
      </c>
      <c r="J179" s="5" t="n">
        <v>0</v>
      </c>
      <c r="K179" s="5" t="n">
        <v>0</v>
      </c>
      <c r="L179" s="5" t="n">
        <v>0</v>
      </c>
      <c r="M179" s="5" t="n">
        <v>0.1</v>
      </c>
      <c r="N179" s="5" t="n">
        <v>0.5</v>
      </c>
      <c r="O179" s="5" t="n">
        <v>4</v>
      </c>
      <c r="P179" s="5" t="n">
        <v>0.1</v>
      </c>
      <c r="Q179" s="5" t="n">
        <v>0.23</v>
      </c>
      <c r="R179" s="5" t="n">
        <v>6</v>
      </c>
      <c r="S179" s="5" t="n">
        <v>0.15</v>
      </c>
      <c r="T179" s="5" t="n">
        <v>5</v>
      </c>
      <c r="U179" s="5" t="n">
        <v>2.6</v>
      </c>
      <c r="V179" s="5" t="n">
        <v>8</v>
      </c>
      <c r="W179" s="5" t="n">
        <v>1.9</v>
      </c>
      <c r="X179" s="5" t="n">
        <v>21</v>
      </c>
      <c r="Y179" s="5" t="n">
        <v>4</v>
      </c>
      <c r="Z179" s="5" t="n">
        <v>310</v>
      </c>
      <c r="AA179" s="7" t="n">
        <v>0</v>
      </c>
    </row>
    <row r="180" customFormat="false" ht="39" hidden="false" customHeight="true" outlineLevel="0" collapsed="false">
      <c r="A180" s="4" t="s">
        <v>210</v>
      </c>
      <c r="B180" s="4" t="s">
        <v>211</v>
      </c>
      <c r="C180" s="5" t="n">
        <v>13.63</v>
      </c>
      <c r="D180" s="5" t="n">
        <v>13.63</v>
      </c>
      <c r="E180" s="4" t="s">
        <v>212</v>
      </c>
      <c r="F180" s="6" t="s">
        <v>213</v>
      </c>
      <c r="G180" s="5" t="n">
        <v>208</v>
      </c>
      <c r="H180" s="5" t="n">
        <v>13</v>
      </c>
      <c r="I180" s="5" t="n">
        <v>20</v>
      </c>
      <c r="J180" s="5" t="n">
        <v>0</v>
      </c>
      <c r="K180" s="5" t="n">
        <v>12</v>
      </c>
      <c r="L180" s="5" t="n">
        <v>0</v>
      </c>
      <c r="M180" s="5" t="n">
        <v>11</v>
      </c>
      <c r="N180" s="5" t="n">
        <v>3.5</v>
      </c>
      <c r="O180" s="5" t="n">
        <v>0.1</v>
      </c>
      <c r="P180" s="5" t="n">
        <v>0.2</v>
      </c>
      <c r="Q180" s="5" t="n">
        <v>0.4</v>
      </c>
      <c r="R180" s="5" t="n">
        <v>8</v>
      </c>
      <c r="S180" s="5" t="n">
        <v>0.6</v>
      </c>
      <c r="T180" s="5" t="n">
        <v>26</v>
      </c>
      <c r="U180" s="5" t="n">
        <v>3.2</v>
      </c>
      <c r="V180" s="5" t="n">
        <v>12</v>
      </c>
      <c r="W180" s="5" t="n">
        <v>0.5</v>
      </c>
      <c r="X180" s="5" t="n">
        <v>27</v>
      </c>
      <c r="Y180" s="5" t="n">
        <v>0.6</v>
      </c>
      <c r="Z180" s="5" t="n">
        <v>380</v>
      </c>
      <c r="AA180" s="7" t="n">
        <v>0</v>
      </c>
    </row>
    <row r="181" customFormat="false" ht="51.75" hidden="false" customHeight="true" outlineLevel="0" collapsed="false">
      <c r="A181" s="4" t="s">
        <v>214</v>
      </c>
      <c r="B181" s="4" t="s">
        <v>215</v>
      </c>
      <c r="C181" s="5" t="n">
        <v>0.43</v>
      </c>
      <c r="D181" s="5" t="n">
        <v>0.43</v>
      </c>
      <c r="E181" s="4" t="s">
        <v>29</v>
      </c>
      <c r="F181" s="6" t="s">
        <v>209</v>
      </c>
      <c r="G181" s="5" t="n">
        <v>580</v>
      </c>
      <c r="H181" s="5" t="n">
        <v>50</v>
      </c>
      <c r="I181" s="5" t="n">
        <v>21</v>
      </c>
      <c r="J181" s="5" t="n">
        <v>22</v>
      </c>
      <c r="K181" s="5" t="n">
        <v>0</v>
      </c>
      <c r="L181" s="5" t="n">
        <v>0</v>
      </c>
      <c r="M181" s="5" t="n">
        <v>0</v>
      </c>
      <c r="N181" s="5" t="n">
        <v>25</v>
      </c>
      <c r="O181" s="5" t="n">
        <v>0</v>
      </c>
      <c r="P181" s="5" t="n">
        <v>0.2</v>
      </c>
      <c r="Q181" s="5" t="n">
        <v>1.1</v>
      </c>
      <c r="R181" s="5" t="n">
        <v>3.6</v>
      </c>
      <c r="S181" s="5" t="n">
        <v>0.1</v>
      </c>
      <c r="T181" s="5" t="n">
        <v>50</v>
      </c>
      <c r="U181" s="5" t="n">
        <v>0</v>
      </c>
      <c r="V181" s="5" t="n">
        <v>260</v>
      </c>
      <c r="W181" s="5" t="n">
        <v>3.7</v>
      </c>
      <c r="X181" s="5" t="n">
        <v>270</v>
      </c>
      <c r="Y181" s="5" t="n">
        <v>3.1</v>
      </c>
      <c r="Z181" s="5" t="n">
        <v>730</v>
      </c>
      <c r="AA181" s="7" t="n">
        <v>2.2</v>
      </c>
    </row>
    <row r="182" customFormat="false" ht="51.75" hidden="false" customHeight="true" outlineLevel="0" collapsed="false">
      <c r="A182" s="4" t="s">
        <v>216</v>
      </c>
      <c r="B182" s="4" t="s">
        <v>217</v>
      </c>
      <c r="C182" s="5" t="n">
        <v>1.18</v>
      </c>
      <c r="D182" s="5" t="n">
        <v>1.18</v>
      </c>
      <c r="E182" s="4" t="s">
        <v>29</v>
      </c>
      <c r="F182" s="6" t="s">
        <v>209</v>
      </c>
      <c r="G182" s="5" t="n">
        <v>354</v>
      </c>
      <c r="H182" s="5" t="n">
        <v>1.2</v>
      </c>
      <c r="I182" s="5" t="n">
        <v>9.9</v>
      </c>
      <c r="J182" s="5" t="n">
        <v>73</v>
      </c>
      <c r="K182" s="5" t="n">
        <v>0</v>
      </c>
      <c r="L182" s="5" t="n">
        <v>0</v>
      </c>
      <c r="M182" s="5" t="n">
        <v>0</v>
      </c>
      <c r="N182" s="5" t="n">
        <v>0.1</v>
      </c>
      <c r="O182" s="5" t="n">
        <v>0</v>
      </c>
      <c r="P182" s="5" t="n">
        <v>0.19</v>
      </c>
      <c r="Q182" s="5" t="n">
        <v>0.11</v>
      </c>
      <c r="R182" s="5" t="n">
        <v>4.6</v>
      </c>
      <c r="S182" s="5" t="n">
        <v>0.26</v>
      </c>
      <c r="T182" s="5" t="n">
        <v>23</v>
      </c>
      <c r="U182" s="5" t="n">
        <v>0</v>
      </c>
      <c r="V182" s="5" t="n">
        <v>29</v>
      </c>
      <c r="W182" s="5" t="n">
        <v>2.5</v>
      </c>
      <c r="X182" s="5" t="n">
        <v>79</v>
      </c>
      <c r="Y182" s="5" t="n">
        <v>2.1</v>
      </c>
      <c r="Z182" s="5" t="n">
        <v>280</v>
      </c>
      <c r="AA182" s="7" t="n">
        <v>10.9</v>
      </c>
    </row>
    <row r="183" customFormat="false" ht="51.75" hidden="false" customHeight="true" outlineLevel="0" collapsed="false">
      <c r="A183" s="4" t="s">
        <v>218</v>
      </c>
      <c r="B183" s="4" t="s">
        <v>219</v>
      </c>
      <c r="C183" s="5" t="n">
        <v>46.65</v>
      </c>
      <c r="D183" s="5" t="n">
        <v>46.65</v>
      </c>
      <c r="E183" s="4" t="s">
        <v>29</v>
      </c>
      <c r="F183" s="6" t="s">
        <v>209</v>
      </c>
      <c r="G183" s="5" t="n">
        <v>550</v>
      </c>
      <c r="H183" s="5" t="n">
        <v>38</v>
      </c>
      <c r="I183" s="5" t="n">
        <v>6</v>
      </c>
      <c r="J183" s="5" t="n">
        <v>45</v>
      </c>
      <c r="K183" s="5" t="n">
        <v>3</v>
      </c>
      <c r="L183" s="5" t="n">
        <v>0</v>
      </c>
      <c r="M183" s="5" t="n">
        <v>0</v>
      </c>
      <c r="N183" s="5" t="n">
        <v>0.6</v>
      </c>
      <c r="O183" s="5" t="n">
        <v>6</v>
      </c>
      <c r="P183" s="5" t="n">
        <v>0.03</v>
      </c>
      <c r="Q183" s="5" t="n">
        <v>0.08</v>
      </c>
      <c r="R183" s="5" t="n">
        <v>1</v>
      </c>
      <c r="S183" s="5" t="n">
        <v>0.04</v>
      </c>
      <c r="T183" s="5" t="n">
        <v>8</v>
      </c>
      <c r="U183" s="5" t="n">
        <v>0.3</v>
      </c>
      <c r="V183" s="5" t="n">
        <v>60</v>
      </c>
      <c r="W183" s="5" t="n">
        <v>8</v>
      </c>
      <c r="X183" s="5" t="n">
        <v>150</v>
      </c>
      <c r="Y183" s="5" t="n">
        <v>2</v>
      </c>
      <c r="Z183" s="5" t="n">
        <v>600</v>
      </c>
      <c r="AA183" s="7" t="n">
        <v>38.2</v>
      </c>
    </row>
    <row r="184" customFormat="false" ht="90" hidden="false" customHeight="true" outlineLevel="0" collapsed="false">
      <c r="A184" s="4" t="s">
        <v>220</v>
      </c>
      <c r="B184" s="4" t="s">
        <v>221</v>
      </c>
      <c r="C184" s="5" t="n">
        <v>0.6</v>
      </c>
      <c r="D184" s="5"/>
      <c r="E184" s="4" t="s">
        <v>222</v>
      </c>
      <c r="F184" s="6" t="s">
        <v>223</v>
      </c>
      <c r="G184" s="5" t="n">
        <v>14</v>
      </c>
      <c r="H184" s="5" t="n">
        <v>0.1</v>
      </c>
      <c r="I184" s="5" t="n">
        <v>0.9</v>
      </c>
      <c r="J184" s="5" t="n">
        <v>2.1</v>
      </c>
      <c r="K184" s="5" t="n">
        <v>25</v>
      </c>
      <c r="L184" s="5" t="n">
        <v>3</v>
      </c>
      <c r="M184" s="5" t="n">
        <v>0</v>
      </c>
      <c r="N184" s="5" t="n">
        <v>0.2</v>
      </c>
      <c r="O184" s="5" t="n">
        <v>24</v>
      </c>
      <c r="P184" s="5" t="n">
        <v>0.05</v>
      </c>
      <c r="Q184" s="5" t="n">
        <v>0.03</v>
      </c>
      <c r="R184" s="5" t="n">
        <v>0.2</v>
      </c>
      <c r="S184" s="5" t="n">
        <v>0.04</v>
      </c>
      <c r="T184" s="5" t="n">
        <v>18</v>
      </c>
      <c r="U184" s="5" t="n">
        <v>0</v>
      </c>
      <c r="V184" s="5" t="n">
        <v>18</v>
      </c>
      <c r="W184" s="5" t="n">
        <v>0.4</v>
      </c>
      <c r="X184" s="5" t="n">
        <v>7</v>
      </c>
      <c r="Y184" s="5" t="n">
        <v>0.2</v>
      </c>
      <c r="Z184" s="5" t="n">
        <v>140</v>
      </c>
      <c r="AA184" s="7" t="n">
        <v>0.6</v>
      </c>
    </row>
    <row r="185" customFormat="false" ht="102.75" hidden="false" customHeight="true" outlineLevel="0" collapsed="false">
      <c r="A185" s="4" t="s">
        <v>224</v>
      </c>
      <c r="B185" s="4" t="s">
        <v>225</v>
      </c>
      <c r="C185" s="5" t="n">
        <v>21</v>
      </c>
      <c r="D185" s="5"/>
      <c r="E185" s="4" t="s">
        <v>226</v>
      </c>
      <c r="F185" s="6" t="s">
        <v>227</v>
      </c>
      <c r="G185" s="5" t="n">
        <v>250</v>
      </c>
      <c r="H185" s="5" t="n">
        <v>15</v>
      </c>
      <c r="I185" s="5" t="n">
        <v>26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0.3</v>
      </c>
      <c r="O185" s="5" t="n">
        <v>1.5</v>
      </c>
      <c r="P185" s="5" t="n">
        <v>0.08</v>
      </c>
      <c r="Q185" s="5" t="n">
        <v>0.2</v>
      </c>
      <c r="R185" s="5" t="n">
        <v>5</v>
      </c>
      <c r="S185" s="5" t="n">
        <v>0.4</v>
      </c>
      <c r="T185" s="5" t="n">
        <v>6</v>
      </c>
      <c r="U185" s="5" t="n">
        <v>2.5</v>
      </c>
      <c r="V185" s="5" t="n">
        <v>12</v>
      </c>
      <c r="W185" s="5" t="n">
        <v>2.5</v>
      </c>
      <c r="X185" s="5" t="n">
        <v>22</v>
      </c>
      <c r="Y185" s="5" t="n">
        <v>4.5</v>
      </c>
      <c r="Z185" s="5" t="n">
        <v>350</v>
      </c>
      <c r="AA185" s="7" t="n">
        <v>0</v>
      </c>
    </row>
    <row r="186" customFormat="false" ht="128.25" hidden="false" customHeight="true" outlineLevel="0" collapsed="false">
      <c r="A186" s="4" t="s">
        <v>228</v>
      </c>
      <c r="B186" s="4" t="s">
        <v>229</v>
      </c>
      <c r="C186" s="5" t="n">
        <v>14</v>
      </c>
      <c r="D186" s="5"/>
      <c r="E186" s="4" t="s">
        <v>226</v>
      </c>
      <c r="F186" s="6" t="s">
        <v>230</v>
      </c>
      <c r="G186" s="5" t="n">
        <v>242</v>
      </c>
      <c r="H186" s="5" t="n">
        <v>17</v>
      </c>
      <c r="I186" s="5" t="n">
        <v>21</v>
      </c>
      <c r="J186" s="5" t="n">
        <v>0</v>
      </c>
      <c r="K186" s="5" t="n">
        <v>2</v>
      </c>
      <c r="L186" s="5" t="n">
        <v>0.5</v>
      </c>
      <c r="M186" s="5" t="n">
        <v>1</v>
      </c>
      <c r="N186" s="5" t="n">
        <v>0.3</v>
      </c>
      <c r="O186" s="5" t="n">
        <v>0</v>
      </c>
      <c r="P186" s="5" t="n">
        <v>0.6</v>
      </c>
      <c r="Q186" s="5" t="n">
        <v>0.2</v>
      </c>
      <c r="R186" s="5" t="n">
        <v>5</v>
      </c>
      <c r="S186" s="5" t="n">
        <v>0.5</v>
      </c>
      <c r="T186" s="5" t="n">
        <v>3</v>
      </c>
      <c r="U186" s="5" t="n">
        <v>0.7</v>
      </c>
      <c r="V186" s="5" t="n">
        <v>10</v>
      </c>
      <c r="W186" s="5" t="n">
        <v>0.9</v>
      </c>
      <c r="X186" s="5" t="n">
        <v>20</v>
      </c>
      <c r="Y186" s="5" t="n">
        <v>2</v>
      </c>
      <c r="Z186" s="5" t="n">
        <v>380</v>
      </c>
      <c r="AA186" s="7" t="n">
        <v>0</v>
      </c>
    </row>
    <row r="187" customFormat="false" ht="26.25" hidden="false" customHeight="true" outlineLevel="0" collapsed="false">
      <c r="A187" s="4" t="s">
        <v>231</v>
      </c>
      <c r="B187" s="4" t="s">
        <v>232</v>
      </c>
      <c r="C187" s="5" t="n">
        <v>0.6</v>
      </c>
      <c r="D187" s="5"/>
      <c r="E187" s="4" t="s">
        <v>29</v>
      </c>
      <c r="F187" s="6" t="s">
        <v>232</v>
      </c>
      <c r="G187" s="5" t="n">
        <v>23</v>
      </c>
      <c r="H187" s="5" t="n">
        <v>0.6</v>
      </c>
      <c r="I187" s="5" t="n">
        <v>3.2</v>
      </c>
      <c r="J187" s="5" t="n">
        <v>2.6</v>
      </c>
      <c r="K187" s="5" t="n">
        <v>264</v>
      </c>
      <c r="L187" s="5" t="n">
        <v>18</v>
      </c>
      <c r="M187" s="5" t="n">
        <v>0</v>
      </c>
      <c r="N187" s="5" t="n">
        <v>0.8</v>
      </c>
      <c r="O187" s="5" t="n">
        <v>415</v>
      </c>
      <c r="P187" s="5" t="n">
        <v>0.03</v>
      </c>
      <c r="Q187" s="5" t="n">
        <v>0.08</v>
      </c>
      <c r="R187" s="5" t="n">
        <v>0.9</v>
      </c>
      <c r="S187" s="5" t="n">
        <v>0.16</v>
      </c>
      <c r="T187" s="5" t="n">
        <v>68</v>
      </c>
      <c r="U187" s="5" t="n">
        <v>0</v>
      </c>
      <c r="V187" s="5" t="n">
        <v>177</v>
      </c>
      <c r="W187" s="5" t="n">
        <v>3.2</v>
      </c>
      <c r="X187" s="5" t="n">
        <v>64</v>
      </c>
      <c r="Y187" s="5" t="n">
        <v>0.8</v>
      </c>
      <c r="Z187" s="5" t="n">
        <v>295</v>
      </c>
      <c r="AA187" s="7" t="n">
        <v>0.4</v>
      </c>
    </row>
    <row r="188" customFormat="false" ht="26.25" hidden="false" customHeight="true" outlineLevel="0" collapsed="false">
      <c r="A188" s="4" t="s">
        <v>233</v>
      </c>
      <c r="B188" s="4" t="s">
        <v>232</v>
      </c>
      <c r="C188" s="5" t="n">
        <v>0.5</v>
      </c>
      <c r="D188" s="5"/>
      <c r="E188" s="4" t="s">
        <v>29</v>
      </c>
      <c r="F188" s="6" t="s">
        <v>232</v>
      </c>
      <c r="G188" s="5" t="n">
        <v>36</v>
      </c>
      <c r="H188" s="5" t="n">
        <v>0.8</v>
      </c>
      <c r="I188" s="5" t="n">
        <v>3</v>
      </c>
      <c r="J188" s="5" t="n">
        <v>6.3</v>
      </c>
      <c r="K188" s="5" t="n">
        <v>421</v>
      </c>
      <c r="L188" s="5" t="n">
        <v>133</v>
      </c>
      <c r="M188" s="5" t="n">
        <v>0</v>
      </c>
      <c r="N188" s="5" t="n">
        <v>0.8</v>
      </c>
      <c r="O188" s="5" t="n">
        <v>1640</v>
      </c>
      <c r="P188" s="5" t="n">
        <v>0.09</v>
      </c>
      <c r="Q188" s="5" t="n">
        <v>0.1</v>
      </c>
      <c r="R188" s="5" t="n">
        <v>1.3</v>
      </c>
      <c r="S188" s="5" t="n">
        <v>0.09</v>
      </c>
      <c r="T188" s="5" t="n">
        <v>152</v>
      </c>
      <c r="U188" s="5" t="n">
        <v>0</v>
      </c>
      <c r="V188" s="5" t="n">
        <v>138</v>
      </c>
      <c r="W188" s="5" t="n">
        <v>6.2</v>
      </c>
      <c r="X188" s="5" t="n">
        <v>50</v>
      </c>
      <c r="Y188" s="5" t="n">
        <v>1.1</v>
      </c>
      <c r="Z188" s="5" t="n">
        <v>554</v>
      </c>
      <c r="AA188" s="7" t="n">
        <v>0.9</v>
      </c>
    </row>
    <row r="189" customFormat="false" ht="26.25" hidden="false" customHeight="true" outlineLevel="0" collapsed="false">
      <c r="A189" s="4" t="s">
        <v>234</v>
      </c>
      <c r="B189" s="4" t="s">
        <v>232</v>
      </c>
      <c r="C189" s="5" t="n">
        <v>0.5</v>
      </c>
      <c r="D189" s="5"/>
      <c r="E189" s="4" t="s">
        <v>29</v>
      </c>
      <c r="F189" s="6" t="s">
        <v>232</v>
      </c>
      <c r="G189" s="5" t="n">
        <v>30</v>
      </c>
      <c r="H189" s="5" t="n">
        <v>0.7</v>
      </c>
      <c r="I189" s="5" t="n">
        <v>3.3</v>
      </c>
      <c r="J189" s="5" t="n">
        <v>4.4</v>
      </c>
      <c r="K189" s="5" t="n">
        <v>218</v>
      </c>
      <c r="L189" s="5" t="n">
        <v>58</v>
      </c>
      <c r="M189" s="5" t="n">
        <v>0</v>
      </c>
      <c r="N189" s="5" t="n">
        <v>0.2</v>
      </c>
      <c r="O189" s="5" t="n">
        <v>213</v>
      </c>
      <c r="P189" s="5" t="n">
        <v>0.08</v>
      </c>
      <c r="Q189" s="5" t="n">
        <v>0.17</v>
      </c>
      <c r="R189" s="5" t="n">
        <v>0.6</v>
      </c>
      <c r="S189" s="5" t="n">
        <v>0.13</v>
      </c>
      <c r="T189" s="5" t="n">
        <v>105</v>
      </c>
      <c r="U189" s="5" t="n">
        <v>0</v>
      </c>
      <c r="V189" s="5" t="n">
        <v>92</v>
      </c>
      <c r="W189" s="5" t="n">
        <v>1.6</v>
      </c>
      <c r="X189" s="5" t="n">
        <v>42</v>
      </c>
      <c r="Y189" s="5" t="n">
        <v>0.6</v>
      </c>
      <c r="Z189" s="5" t="n">
        <v>296</v>
      </c>
      <c r="AA189" s="7" t="n">
        <v>1.3</v>
      </c>
    </row>
    <row r="190" customFormat="false" ht="26.25" hidden="false" customHeight="true" outlineLevel="0" collapsed="false">
      <c r="A190" s="4" t="s">
        <v>235</v>
      </c>
      <c r="B190" s="4" t="s">
        <v>232</v>
      </c>
      <c r="C190" s="5" t="n">
        <v>0.5</v>
      </c>
      <c r="D190" s="5"/>
      <c r="E190" s="4" t="s">
        <v>29</v>
      </c>
      <c r="F190" s="6" t="s">
        <v>232</v>
      </c>
      <c r="G190" s="5" t="n">
        <v>43</v>
      </c>
      <c r="H190" s="5" t="n">
        <v>1.1</v>
      </c>
      <c r="I190" s="5" t="n">
        <v>3.5</v>
      </c>
      <c r="J190" s="5" t="n">
        <v>7</v>
      </c>
      <c r="K190" s="5" t="n">
        <v>386</v>
      </c>
      <c r="L190" s="5" t="n">
        <v>85</v>
      </c>
      <c r="M190" s="5" t="n">
        <v>0</v>
      </c>
      <c r="N190" s="5" t="n">
        <v>1.7</v>
      </c>
      <c r="O190" s="5" t="n">
        <v>777</v>
      </c>
      <c r="P190" s="5" t="n">
        <v>0.06</v>
      </c>
      <c r="Q190" s="5" t="n">
        <v>0.3</v>
      </c>
      <c r="R190" s="5" t="n">
        <v>1.6</v>
      </c>
      <c r="S190" s="5" t="n">
        <v>0.19</v>
      </c>
      <c r="T190" s="5" t="n">
        <v>150</v>
      </c>
      <c r="U190" s="5" t="n">
        <v>0</v>
      </c>
      <c r="V190" s="5" t="n">
        <v>208</v>
      </c>
      <c r="W190" s="5" t="n">
        <v>6.6</v>
      </c>
      <c r="X190" s="5" t="n">
        <v>55</v>
      </c>
      <c r="Y190" s="5" t="n">
        <v>0.9</v>
      </c>
      <c r="Z190" s="5" t="n">
        <v>738</v>
      </c>
      <c r="AA190" s="7" t="n">
        <v>1.1</v>
      </c>
    </row>
    <row r="191" customFormat="false" ht="26.25" hidden="false" customHeight="true" outlineLevel="0" collapsed="false">
      <c r="A191" s="4" t="s">
        <v>236</v>
      </c>
      <c r="B191" s="4" t="s">
        <v>232</v>
      </c>
      <c r="C191" s="5" t="n">
        <v>0.6</v>
      </c>
      <c r="D191" s="5"/>
      <c r="E191" s="4" t="s">
        <v>29</v>
      </c>
      <c r="F191" s="6" t="s">
        <v>232</v>
      </c>
      <c r="G191" s="5" t="n">
        <v>23</v>
      </c>
      <c r="H191" s="5" t="n">
        <v>0.5</v>
      </c>
      <c r="I191" s="5" t="n">
        <v>2.1</v>
      </c>
      <c r="J191" s="5" t="n">
        <v>3.7</v>
      </c>
      <c r="K191" s="5" t="n">
        <v>337</v>
      </c>
      <c r="L191" s="5" t="n">
        <v>27</v>
      </c>
      <c r="M191" s="5" t="n">
        <v>0</v>
      </c>
      <c r="N191" s="5" t="n">
        <v>2.5</v>
      </c>
      <c r="O191" s="5" t="n">
        <v>310</v>
      </c>
      <c r="P191" s="5" t="n">
        <v>0.07</v>
      </c>
      <c r="Q191" s="5" t="n">
        <v>0.16</v>
      </c>
      <c r="R191" s="5" t="n">
        <v>1.1</v>
      </c>
      <c r="S191" s="5" t="n">
        <v>0.15</v>
      </c>
      <c r="T191" s="5" t="n">
        <v>62</v>
      </c>
      <c r="U191" s="5" t="n">
        <v>0</v>
      </c>
      <c r="V191" s="5" t="n">
        <v>67</v>
      </c>
      <c r="W191" s="5" t="n">
        <v>1.8</v>
      </c>
      <c r="X191" s="5" t="n">
        <v>26</v>
      </c>
      <c r="Y191" s="5" t="n">
        <v>0.5</v>
      </c>
      <c r="Z191" s="5" t="n">
        <v>521</v>
      </c>
      <c r="AA191" s="7" t="n">
        <v>0.6</v>
      </c>
    </row>
    <row r="192" customFormat="false" ht="26.25" hidden="false" customHeight="true" outlineLevel="0" collapsed="false">
      <c r="A192" s="4" t="s">
        <v>237</v>
      </c>
      <c r="B192" s="4" t="s">
        <v>232</v>
      </c>
      <c r="C192" s="5" t="n">
        <v>0.5</v>
      </c>
      <c r="D192" s="5"/>
      <c r="E192" s="4" t="s">
        <v>29</v>
      </c>
      <c r="F192" s="6" t="s">
        <v>232</v>
      </c>
      <c r="G192" s="5" t="n">
        <v>70</v>
      </c>
      <c r="H192" s="5" t="n">
        <v>0.9</v>
      </c>
      <c r="I192" s="5" t="n">
        <v>3.8</v>
      </c>
      <c r="J192" s="5" t="n">
        <v>15</v>
      </c>
      <c r="K192" s="5" t="n">
        <v>212</v>
      </c>
      <c r="L192" s="5" t="n">
        <v>32</v>
      </c>
      <c r="M192" s="5" t="n">
        <v>0</v>
      </c>
      <c r="N192" s="5" t="n">
        <v>1.5</v>
      </c>
      <c r="O192" s="5" t="n">
        <v>212</v>
      </c>
      <c r="P192" s="5" t="n">
        <v>0.08</v>
      </c>
      <c r="Q192" s="5" t="n">
        <v>0.18</v>
      </c>
      <c r="R192" s="5" t="n">
        <v>1.7</v>
      </c>
      <c r="S192" s="5" t="n">
        <v>0.13</v>
      </c>
      <c r="T192" s="5" t="n">
        <v>114</v>
      </c>
      <c r="U192" s="5" t="n">
        <v>0</v>
      </c>
      <c r="V192" s="5" t="n">
        <v>199</v>
      </c>
      <c r="W192" s="5" t="n">
        <v>5.1</v>
      </c>
      <c r="X192" s="5" t="n">
        <v>80</v>
      </c>
      <c r="Y192" s="5" t="n">
        <v>1.1</v>
      </c>
      <c r="Z192" s="5" t="n">
        <v>569</v>
      </c>
      <c r="AA192" s="7" t="n">
        <v>2.2</v>
      </c>
    </row>
    <row r="193" customFormat="false" ht="26.25" hidden="false" customHeight="true" outlineLevel="0" collapsed="false">
      <c r="A193" s="4" t="s">
        <v>238</v>
      </c>
      <c r="B193" s="4" t="s">
        <v>232</v>
      </c>
      <c r="C193" s="5" t="n">
        <v>0.6</v>
      </c>
      <c r="D193" s="5"/>
      <c r="E193" s="4" t="s">
        <v>29</v>
      </c>
      <c r="F193" s="6" t="s">
        <v>232</v>
      </c>
      <c r="G193" s="5" t="n">
        <v>131</v>
      </c>
      <c r="H193" s="5" t="n">
        <v>5.9</v>
      </c>
      <c r="I193" s="5" t="n">
        <v>3.3</v>
      </c>
      <c r="J193" s="5" t="n">
        <v>20.7</v>
      </c>
      <c r="K193" s="5" t="n">
        <v>146</v>
      </c>
      <c r="L193" s="5" t="n">
        <v>22</v>
      </c>
      <c r="M193" s="5" t="n">
        <v>0</v>
      </c>
      <c r="N193" s="5" t="n">
        <v>2.9</v>
      </c>
      <c r="O193" s="5" t="n">
        <v>58</v>
      </c>
      <c r="P193" s="5" t="n">
        <v>0.04</v>
      </c>
      <c r="Q193" s="5" t="n">
        <v>0.15</v>
      </c>
      <c r="R193" s="5" t="n">
        <v>1.2</v>
      </c>
      <c r="S193" s="5" t="n">
        <v>0.44</v>
      </c>
      <c r="T193" s="5" t="n">
        <v>109</v>
      </c>
      <c r="U193" s="5" t="n">
        <v>0</v>
      </c>
      <c r="V193" s="5" t="n">
        <v>317</v>
      </c>
      <c r="W193" s="5" t="n">
        <v>6.7</v>
      </c>
      <c r="X193" s="5" t="n">
        <v>91</v>
      </c>
      <c r="Y193" s="5" t="n">
        <v>0.9</v>
      </c>
      <c r="Z193" s="5" t="n">
        <v>668</v>
      </c>
      <c r="AA193" s="7" t="n">
        <v>3.1</v>
      </c>
    </row>
    <row r="194" customFormat="false" ht="26.25" hidden="false" customHeight="true" outlineLevel="0" collapsed="false">
      <c r="A194" s="4" t="s">
        <v>239</v>
      </c>
      <c r="B194" s="4" t="s">
        <v>232</v>
      </c>
      <c r="C194" s="5" t="n">
        <v>0.6</v>
      </c>
      <c r="D194" s="5"/>
      <c r="E194" s="4" t="s">
        <v>29</v>
      </c>
      <c r="F194" s="6" t="s">
        <v>232</v>
      </c>
      <c r="G194" s="5" t="n">
        <v>101</v>
      </c>
      <c r="H194" s="5" t="n">
        <v>1.7</v>
      </c>
      <c r="I194" s="5" t="n">
        <v>5.6</v>
      </c>
      <c r="J194" s="5" t="n">
        <v>24.5</v>
      </c>
      <c r="K194" s="5" t="n">
        <v>190</v>
      </c>
      <c r="L194" s="5" t="n">
        <v>160</v>
      </c>
      <c r="M194" s="5" t="n">
        <v>0</v>
      </c>
      <c r="N194" s="5" t="n">
        <v>1.7</v>
      </c>
      <c r="O194" s="5" t="n">
        <v>1715</v>
      </c>
      <c r="P194" s="5" t="n">
        <v>0.05</v>
      </c>
      <c r="Q194" s="5" t="n">
        <v>0.47</v>
      </c>
      <c r="R194" s="5" t="n">
        <v>2.1</v>
      </c>
      <c r="S194" s="5" t="n">
        <v>0.34</v>
      </c>
      <c r="T194" s="5" t="n">
        <v>45</v>
      </c>
      <c r="U194" s="5" t="n">
        <v>0</v>
      </c>
      <c r="V194" s="5" t="n">
        <v>405</v>
      </c>
      <c r="W194" s="5" t="n">
        <v>9.5</v>
      </c>
      <c r="X194" s="5" t="n">
        <v>160</v>
      </c>
      <c r="Y194" s="5" t="n">
        <v>1.8</v>
      </c>
      <c r="Z194" s="5" t="n">
        <v>609</v>
      </c>
      <c r="AA194" s="7" t="n">
        <v>3.7</v>
      </c>
    </row>
    <row r="195" customFormat="false" ht="26.25" hidden="false" customHeight="true" outlineLevel="0" collapsed="false">
      <c r="A195" s="4" t="s">
        <v>240</v>
      </c>
      <c r="B195" s="4" t="s">
        <v>232</v>
      </c>
      <c r="C195" s="5" t="n">
        <v>0.6</v>
      </c>
      <c r="D195" s="5"/>
      <c r="E195" s="4" t="s">
        <v>29</v>
      </c>
      <c r="F195" s="6" t="s">
        <v>232</v>
      </c>
      <c r="G195" s="5" t="n">
        <v>315</v>
      </c>
      <c r="H195" s="5" t="n">
        <v>12.8</v>
      </c>
      <c r="I195" s="5" t="n">
        <v>10.6</v>
      </c>
      <c r="J195" s="5" t="n">
        <v>60.7</v>
      </c>
      <c r="K195" s="5" t="n">
        <v>296</v>
      </c>
      <c r="L195" s="5" t="n">
        <v>32</v>
      </c>
      <c r="M195" s="5" t="n">
        <v>0</v>
      </c>
      <c r="N195" s="5" t="n">
        <v>7.5</v>
      </c>
      <c r="O195" s="5" t="n">
        <v>1715</v>
      </c>
      <c r="P195" s="5" t="n">
        <v>0.75</v>
      </c>
      <c r="Q195" s="5" t="n">
        <v>0.34</v>
      </c>
      <c r="R195" s="5" t="n">
        <v>5.7</v>
      </c>
      <c r="S195" s="5" t="n">
        <v>2.7</v>
      </c>
      <c r="T195" s="5" t="n">
        <v>274</v>
      </c>
      <c r="U195" s="5" t="n">
        <v>0</v>
      </c>
      <c r="V195" s="5" t="n">
        <v>1652</v>
      </c>
      <c r="W195" s="5" t="n">
        <v>28</v>
      </c>
      <c r="X195" s="5" t="n">
        <v>428</v>
      </c>
      <c r="Y195" s="5" t="n">
        <v>4.7</v>
      </c>
      <c r="Z195" s="5" t="n">
        <v>1070</v>
      </c>
      <c r="AA195" s="7" t="n">
        <v>0</v>
      </c>
    </row>
    <row r="196" customFormat="false" ht="26.25" hidden="false" customHeight="true" outlineLevel="0" collapsed="false">
      <c r="A196" s="4" t="s">
        <v>241</v>
      </c>
      <c r="B196" s="4" t="s">
        <v>232</v>
      </c>
      <c r="C196" s="5" t="n">
        <v>0.6</v>
      </c>
      <c r="D196" s="5"/>
      <c r="E196" s="4" t="s">
        <v>29</v>
      </c>
      <c r="F196" s="6" t="s">
        <v>232</v>
      </c>
      <c r="G196" s="5" t="n">
        <v>265</v>
      </c>
      <c r="H196" s="5" t="n">
        <v>4.3</v>
      </c>
      <c r="I196" s="5" t="n">
        <v>9</v>
      </c>
      <c r="J196" s="5" t="n">
        <v>69</v>
      </c>
      <c r="K196" s="5" t="n">
        <v>1200</v>
      </c>
      <c r="L196" s="5" t="n">
        <v>50</v>
      </c>
      <c r="M196" s="5" t="n">
        <v>0</v>
      </c>
      <c r="N196" s="5" t="n">
        <v>18</v>
      </c>
      <c r="O196" s="5" t="n">
        <v>622</v>
      </c>
      <c r="P196" s="5" t="n">
        <v>0.18</v>
      </c>
      <c r="Q196" s="5" t="n">
        <v>0.53</v>
      </c>
      <c r="R196" s="5" t="n">
        <v>4.6</v>
      </c>
      <c r="S196" s="5" t="n">
        <v>1</v>
      </c>
      <c r="T196" s="5" t="n">
        <v>237</v>
      </c>
      <c r="U196" s="5" t="n">
        <v>0</v>
      </c>
      <c r="V196" s="5" t="n">
        <v>1597</v>
      </c>
      <c r="W196" s="5" t="n">
        <v>44</v>
      </c>
      <c r="X196" s="5" t="n">
        <v>270</v>
      </c>
      <c r="Y196" s="5" t="n">
        <v>2.3</v>
      </c>
      <c r="Z196" s="5" t="n">
        <v>1260</v>
      </c>
      <c r="AA196" s="7" t="n">
        <v>10.3</v>
      </c>
    </row>
    <row r="197" customFormat="false" ht="26.25" hidden="false" customHeight="true" outlineLevel="0" collapsed="false">
      <c r="A197" s="4" t="s">
        <v>242</v>
      </c>
      <c r="B197" s="4" t="s">
        <v>232</v>
      </c>
      <c r="C197" s="5" t="n">
        <v>0.6</v>
      </c>
      <c r="D197" s="5"/>
      <c r="E197" s="4" t="s">
        <v>29</v>
      </c>
      <c r="F197" s="6" t="s">
        <v>232</v>
      </c>
      <c r="G197" s="5" t="n">
        <v>271</v>
      </c>
      <c r="H197" s="5" t="n">
        <v>7</v>
      </c>
      <c r="I197" s="5" t="n">
        <v>12.7</v>
      </c>
      <c r="J197" s="5" t="n">
        <v>60.6</v>
      </c>
      <c r="K197" s="5" t="n">
        <v>155</v>
      </c>
      <c r="L197" s="5" t="n">
        <v>52</v>
      </c>
      <c r="M197" s="5" t="n">
        <v>0</v>
      </c>
      <c r="N197" s="5" t="n">
        <v>3.5</v>
      </c>
      <c r="O197" s="5" t="n">
        <v>622</v>
      </c>
      <c r="P197" s="5" t="n">
        <v>0.29</v>
      </c>
      <c r="Q197" s="5" t="n">
        <v>0.32</v>
      </c>
      <c r="R197" s="5" t="n">
        <v>4.1</v>
      </c>
      <c r="S197" s="5" t="n">
        <v>1.2</v>
      </c>
      <c r="T197" s="5" t="n">
        <v>274</v>
      </c>
      <c r="U197" s="5" t="n">
        <v>0</v>
      </c>
      <c r="V197" s="5" t="n">
        <v>1990</v>
      </c>
      <c r="W197" s="5" t="n">
        <v>82</v>
      </c>
      <c r="X197" s="5" t="n">
        <v>346</v>
      </c>
      <c r="Y197" s="5" t="n">
        <v>3.6</v>
      </c>
      <c r="Z197" s="5" t="n">
        <v>1522</v>
      </c>
      <c r="AA197" s="7" t="n">
        <v>9.1</v>
      </c>
    </row>
    <row r="198" customFormat="false" ht="26.25" hidden="false" customHeight="true" outlineLevel="0" collapsed="false">
      <c r="A198" s="4" t="s">
        <v>243</v>
      </c>
      <c r="B198" s="4" t="s">
        <v>232</v>
      </c>
      <c r="C198" s="5" t="n">
        <v>0.6</v>
      </c>
      <c r="D198" s="5"/>
      <c r="E198" s="4" t="s">
        <v>29</v>
      </c>
      <c r="F198" s="6" t="s">
        <v>232</v>
      </c>
      <c r="G198" s="5" t="n">
        <v>295</v>
      </c>
      <c r="H198" s="5" t="n">
        <v>7.2</v>
      </c>
      <c r="I198" s="5" t="n">
        <v>22.8</v>
      </c>
      <c r="J198" s="5" t="n">
        <v>50.2</v>
      </c>
      <c r="K198" s="5" t="n">
        <v>420</v>
      </c>
      <c r="L198" s="5" t="n">
        <v>50</v>
      </c>
      <c r="M198" s="5" t="n">
        <v>0</v>
      </c>
      <c r="N198" s="5" t="n">
        <v>1.5</v>
      </c>
      <c r="O198" s="5" t="n">
        <v>411</v>
      </c>
      <c r="P198" s="5" t="n">
        <v>0.25</v>
      </c>
      <c r="Q198" s="5" t="n">
        <v>1.3</v>
      </c>
      <c r="R198" s="5" t="n">
        <v>8.9</v>
      </c>
      <c r="S198" s="5" t="n">
        <v>2.4</v>
      </c>
      <c r="T198" s="5" t="n">
        <v>274</v>
      </c>
      <c r="U198" s="5" t="n">
        <v>0</v>
      </c>
      <c r="V198" s="5" t="n">
        <v>1139</v>
      </c>
      <c r="W198" s="5" t="n">
        <v>32</v>
      </c>
      <c r="X198" s="5" t="n">
        <v>347</v>
      </c>
      <c r="Y198" s="5" t="n">
        <v>3.9</v>
      </c>
      <c r="Z198" s="5" t="n">
        <v>3020</v>
      </c>
      <c r="AA198" s="7" t="n">
        <v>7.5</v>
      </c>
    </row>
    <row r="199" customFormat="false" ht="26.25" hidden="false" customHeight="true" outlineLevel="0" collapsed="false">
      <c r="A199" s="4" t="s">
        <v>244</v>
      </c>
      <c r="B199" s="4" t="s">
        <v>232</v>
      </c>
      <c r="C199" s="5" t="n">
        <v>0.6</v>
      </c>
      <c r="D199" s="5"/>
      <c r="E199" s="4" t="s">
        <v>29</v>
      </c>
      <c r="F199" s="6" t="s">
        <v>232</v>
      </c>
      <c r="G199" s="5" t="n">
        <v>237</v>
      </c>
      <c r="H199" s="5" t="n">
        <v>3.9</v>
      </c>
      <c r="I199" s="5" t="n">
        <v>23.2</v>
      </c>
      <c r="J199" s="5" t="n">
        <v>49.9</v>
      </c>
      <c r="K199" s="5" t="n">
        <v>570</v>
      </c>
      <c r="L199" s="5" t="n">
        <v>50</v>
      </c>
      <c r="M199" s="5" t="n">
        <v>0</v>
      </c>
      <c r="N199" s="5" t="n">
        <v>0.6</v>
      </c>
      <c r="O199" s="5" t="n">
        <v>111</v>
      </c>
      <c r="P199" s="5" t="n">
        <v>0.14</v>
      </c>
      <c r="Q199" s="5" t="n">
        <v>0.16</v>
      </c>
      <c r="R199" s="5" t="n">
        <v>8.9</v>
      </c>
      <c r="S199" s="5" t="n">
        <v>0.9</v>
      </c>
      <c r="T199" s="5" t="n">
        <v>274</v>
      </c>
      <c r="U199" s="5" t="n">
        <v>0</v>
      </c>
      <c r="V199" s="5" t="n">
        <v>1350</v>
      </c>
      <c r="W199" s="5" t="n">
        <v>32</v>
      </c>
      <c r="X199" s="5" t="n">
        <v>347</v>
      </c>
      <c r="Y199" s="5" t="n">
        <v>3.9</v>
      </c>
      <c r="Z199" s="5" t="n">
        <v>4600</v>
      </c>
      <c r="AA199" s="7" t="n">
        <v>7.5</v>
      </c>
    </row>
    <row r="200" customFormat="false" ht="26.25" hidden="false" customHeight="true" outlineLevel="0" collapsed="false">
      <c r="A200" s="4" t="s">
        <v>245</v>
      </c>
      <c r="B200" s="4" t="s">
        <v>232</v>
      </c>
      <c r="C200" s="5" t="n">
        <v>0.6</v>
      </c>
      <c r="D200" s="5"/>
      <c r="E200" s="4" t="s">
        <v>29</v>
      </c>
      <c r="F200" s="6" t="s">
        <v>232</v>
      </c>
      <c r="G200" s="5" t="n">
        <v>300</v>
      </c>
      <c r="H200" s="5" t="n">
        <v>10</v>
      </c>
      <c r="I200" s="5" t="n">
        <v>26</v>
      </c>
      <c r="J200" s="5" t="n">
        <v>44</v>
      </c>
      <c r="K200" s="5" t="n">
        <v>400</v>
      </c>
      <c r="L200" s="5" t="n">
        <v>120</v>
      </c>
      <c r="M200" s="5" t="n">
        <v>0</v>
      </c>
      <c r="N200" s="5" t="n">
        <v>4</v>
      </c>
      <c r="O200" s="5" t="n">
        <v>300</v>
      </c>
      <c r="P200" s="5" t="n">
        <v>0.6</v>
      </c>
      <c r="Q200" s="5" t="n">
        <v>1.3</v>
      </c>
      <c r="R200" s="5" t="n">
        <v>9</v>
      </c>
      <c r="S200" s="5" t="n">
        <v>3</v>
      </c>
      <c r="T200" s="5" t="n">
        <v>274</v>
      </c>
      <c r="U200" s="5" t="n">
        <v>0</v>
      </c>
      <c r="V200" s="5" t="n">
        <v>2100</v>
      </c>
      <c r="W200" s="5" t="n">
        <v>56</v>
      </c>
      <c r="X200" s="5" t="n">
        <v>347</v>
      </c>
      <c r="Y200" s="5" t="n">
        <v>3.9</v>
      </c>
      <c r="Z200" s="5" t="n">
        <v>2500</v>
      </c>
      <c r="AA200" s="7" t="n">
        <v>6.6</v>
      </c>
    </row>
    <row r="201" customFormat="false" ht="26.25" hidden="false" customHeight="true" outlineLevel="0" collapsed="false">
      <c r="A201" s="4" t="s">
        <v>246</v>
      </c>
      <c r="B201" s="4" t="s">
        <v>232</v>
      </c>
      <c r="C201" s="5" t="n">
        <v>0.6</v>
      </c>
      <c r="D201" s="5"/>
      <c r="E201" s="4" t="s">
        <v>29</v>
      </c>
      <c r="F201" s="6" t="s">
        <v>232</v>
      </c>
      <c r="G201" s="5" t="n">
        <v>272</v>
      </c>
      <c r="H201" s="5" t="n">
        <v>7.5</v>
      </c>
      <c r="I201" s="5" t="n">
        <v>10.3</v>
      </c>
      <c r="J201" s="5" t="n">
        <v>68.7</v>
      </c>
      <c r="K201" s="5" t="n">
        <v>90</v>
      </c>
      <c r="L201" s="5" t="n">
        <v>44</v>
      </c>
      <c r="M201" s="5" t="n">
        <v>0</v>
      </c>
      <c r="N201" s="5" t="n">
        <v>3</v>
      </c>
      <c r="O201" s="5" t="n">
        <v>622</v>
      </c>
      <c r="P201" s="5" t="n">
        <v>0.44</v>
      </c>
      <c r="Q201" s="5" t="n">
        <v>0.32</v>
      </c>
      <c r="R201" s="5" t="n">
        <v>4.1</v>
      </c>
      <c r="S201" s="5" t="n">
        <v>0.9</v>
      </c>
      <c r="T201" s="5" t="n">
        <v>274</v>
      </c>
      <c r="U201" s="5" t="n">
        <v>0</v>
      </c>
      <c r="V201" s="5" t="n">
        <v>2132</v>
      </c>
      <c r="W201" s="5" t="n">
        <v>42</v>
      </c>
      <c r="X201" s="5" t="n">
        <v>377</v>
      </c>
      <c r="Y201" s="5" t="n">
        <v>4.3</v>
      </c>
      <c r="Z201" s="5" t="n">
        <v>1051</v>
      </c>
      <c r="AA201" s="7" t="n">
        <v>10.3</v>
      </c>
    </row>
    <row r="202" customFormat="false" ht="26.25" hidden="false" customHeight="true" outlineLevel="0" collapsed="false">
      <c r="A202" s="4" t="s">
        <v>247</v>
      </c>
      <c r="B202" s="4" t="s">
        <v>232</v>
      </c>
      <c r="C202" s="5" t="n">
        <v>1.5</v>
      </c>
      <c r="D202" s="5"/>
      <c r="E202" s="4" t="s">
        <v>29</v>
      </c>
      <c r="F202" s="6" t="s">
        <v>232</v>
      </c>
      <c r="G202" s="5" t="n">
        <v>313</v>
      </c>
      <c r="H202" s="5" t="n">
        <v>8.4</v>
      </c>
      <c r="I202" s="5" t="n">
        <v>7.6</v>
      </c>
      <c r="J202" s="5" t="n">
        <v>75</v>
      </c>
      <c r="K202" s="5" t="n">
        <v>6185</v>
      </c>
      <c r="L202" s="5" t="n">
        <v>47</v>
      </c>
      <c r="M202" s="5" t="n">
        <v>0</v>
      </c>
      <c r="N202" s="5" t="n">
        <v>8.4</v>
      </c>
      <c r="O202" s="5" t="n">
        <v>1714.5</v>
      </c>
      <c r="P202" s="5" t="n">
        <v>0.01</v>
      </c>
      <c r="Q202" s="5" t="n">
        <v>0.42</v>
      </c>
      <c r="R202" s="5" t="n">
        <v>2</v>
      </c>
      <c r="S202" s="5" t="n">
        <v>0.44</v>
      </c>
      <c r="T202" s="5" t="n">
        <v>180</v>
      </c>
      <c r="U202" s="5" t="n">
        <v>0</v>
      </c>
      <c r="V202" s="5" t="n">
        <v>834</v>
      </c>
      <c r="W202" s="5" t="n">
        <v>43</v>
      </c>
      <c r="X202" s="5" t="n">
        <v>90</v>
      </c>
      <c r="Y202" s="5" t="n">
        <v>3.7</v>
      </c>
      <c r="Z202" s="5" t="n">
        <v>529</v>
      </c>
      <c r="AA202" s="7" t="n">
        <v>52.5</v>
      </c>
    </row>
    <row r="203" customFormat="false" ht="26.25" hidden="false" customHeight="true" outlineLevel="0" collapsed="false">
      <c r="A203" s="4" t="s">
        <v>248</v>
      </c>
      <c r="B203" s="4" t="s">
        <v>232</v>
      </c>
      <c r="C203" s="5" t="n">
        <v>1</v>
      </c>
      <c r="D203" s="5"/>
      <c r="E203" s="4" t="s">
        <v>29</v>
      </c>
      <c r="F203" s="6" t="s">
        <v>232</v>
      </c>
      <c r="G203" s="5" t="n">
        <v>99</v>
      </c>
      <c r="H203" s="5" t="n">
        <v>0.5</v>
      </c>
      <c r="I203" s="5" t="n">
        <v>1.8</v>
      </c>
      <c r="J203" s="5" t="n">
        <v>25.3</v>
      </c>
      <c r="K203" s="5" t="n">
        <v>0</v>
      </c>
      <c r="L203" s="5" t="n">
        <v>2.6</v>
      </c>
      <c r="M203" s="5" t="n">
        <v>0</v>
      </c>
      <c r="N203" s="5" t="n">
        <v>0</v>
      </c>
      <c r="O203" s="5" t="n">
        <v>0</v>
      </c>
      <c r="P203" s="5" t="n">
        <v>0.07</v>
      </c>
      <c r="Q203" s="5" t="n">
        <v>0.14</v>
      </c>
      <c r="R203" s="5" t="n">
        <v>1.1</v>
      </c>
      <c r="S203" s="5" t="n">
        <v>0.08</v>
      </c>
      <c r="T203" s="5" t="n">
        <v>75</v>
      </c>
      <c r="U203" s="5" t="n">
        <v>0</v>
      </c>
      <c r="V203" s="5" t="n">
        <v>65</v>
      </c>
      <c r="W203" s="5" t="n">
        <v>8.2</v>
      </c>
      <c r="X203" s="5" t="n">
        <v>60</v>
      </c>
      <c r="Y203" s="5" t="n">
        <v>2.2</v>
      </c>
      <c r="Z203" s="5" t="n">
        <v>723</v>
      </c>
      <c r="AA203" s="7" t="n">
        <v>10.1</v>
      </c>
    </row>
    <row r="204" customFormat="false" ht="26.25" hidden="false" customHeight="true" outlineLevel="0" collapsed="false">
      <c r="A204" s="4" t="s">
        <v>249</v>
      </c>
      <c r="B204" s="4" t="s">
        <v>232</v>
      </c>
      <c r="C204" s="5" t="n">
        <v>1</v>
      </c>
      <c r="D204" s="5"/>
      <c r="E204" s="4" t="s">
        <v>29</v>
      </c>
      <c r="F204" s="6" t="s">
        <v>232</v>
      </c>
      <c r="G204" s="5" t="n">
        <v>80</v>
      </c>
      <c r="H204" s="5" t="n">
        <v>0.8</v>
      </c>
      <c r="I204" s="5" t="n">
        <v>1.8</v>
      </c>
      <c r="J204" s="5" t="n">
        <v>17.8</v>
      </c>
      <c r="K204" s="5" t="n">
        <v>0</v>
      </c>
      <c r="L204" s="5" t="n">
        <v>5</v>
      </c>
      <c r="M204" s="5" t="n">
        <v>0</v>
      </c>
      <c r="N204" s="5" t="n">
        <v>0</v>
      </c>
      <c r="O204" s="5" t="n">
        <v>0</v>
      </c>
      <c r="P204" s="5" t="n">
        <v>0.03</v>
      </c>
      <c r="Q204" s="5" t="n">
        <v>0.03</v>
      </c>
      <c r="R204" s="5" t="n">
        <v>0.8</v>
      </c>
      <c r="S204" s="5" t="n">
        <v>0.16</v>
      </c>
      <c r="T204" s="5" t="n">
        <v>11</v>
      </c>
      <c r="U204" s="5" t="n">
        <v>0</v>
      </c>
      <c r="V204" s="5" t="n">
        <v>16</v>
      </c>
      <c r="W204" s="5" t="n">
        <v>0.6</v>
      </c>
      <c r="X204" s="5" t="n">
        <v>43</v>
      </c>
      <c r="Y204" s="5" t="n">
        <v>0.3</v>
      </c>
      <c r="Z204" s="5" t="n">
        <v>415</v>
      </c>
      <c r="AA204" s="7" t="n">
        <v>2.7</v>
      </c>
    </row>
    <row r="205" customFormat="false" ht="26.25" hidden="false" customHeight="true" outlineLevel="0" collapsed="false">
      <c r="A205" s="4" t="s">
        <v>250</v>
      </c>
      <c r="B205" s="4" t="s">
        <v>232</v>
      </c>
      <c r="C205" s="5" t="n">
        <v>1</v>
      </c>
      <c r="D205" s="5"/>
      <c r="E205" s="4" t="s">
        <v>29</v>
      </c>
      <c r="F205" s="6" t="s">
        <v>232</v>
      </c>
      <c r="G205" s="5" t="n">
        <v>149</v>
      </c>
      <c r="H205" s="5" t="n">
        <v>0.5</v>
      </c>
      <c r="I205" s="5" t="n">
        <v>6.4</v>
      </c>
      <c r="J205" s="5" t="n">
        <v>33.1</v>
      </c>
      <c r="K205" s="5" t="n">
        <v>0</v>
      </c>
      <c r="L205" s="5" t="n">
        <v>31</v>
      </c>
      <c r="M205" s="5" t="n">
        <v>0</v>
      </c>
      <c r="N205" s="5" t="n">
        <v>0</v>
      </c>
      <c r="O205" s="5" t="n">
        <v>1.7</v>
      </c>
      <c r="P205" s="5" t="n">
        <v>0.2</v>
      </c>
      <c r="Q205" s="5" t="n">
        <v>0.11</v>
      </c>
      <c r="R205" s="5" t="n">
        <v>0.7</v>
      </c>
      <c r="S205" s="5" t="n">
        <v>1.2</v>
      </c>
      <c r="T205" s="5" t="n">
        <v>3</v>
      </c>
      <c r="U205" s="5" t="n">
        <v>0</v>
      </c>
      <c r="V205" s="5" t="n">
        <v>181</v>
      </c>
      <c r="W205" s="5" t="n">
        <v>1.7</v>
      </c>
      <c r="X205" s="5" t="n">
        <v>25</v>
      </c>
      <c r="Y205" s="5" t="n">
        <v>1.2</v>
      </c>
      <c r="Z205" s="5" t="n">
        <v>401</v>
      </c>
      <c r="AA205" s="7" t="n">
        <v>9.9</v>
      </c>
    </row>
    <row r="206" customFormat="false" ht="26.25" hidden="false" customHeight="true" outlineLevel="0" collapsed="false">
      <c r="A206" s="4" t="s">
        <v>251</v>
      </c>
      <c r="B206" s="4" t="s">
        <v>232</v>
      </c>
      <c r="C206" s="5" t="n">
        <v>0.5</v>
      </c>
      <c r="D206" s="5"/>
      <c r="E206" s="4" t="s">
        <v>29</v>
      </c>
      <c r="F206" s="6" t="s">
        <v>232</v>
      </c>
      <c r="G206" s="5" t="n">
        <v>44</v>
      </c>
      <c r="H206" s="5" t="n">
        <v>0.2</v>
      </c>
      <c r="I206" s="5" t="n">
        <v>3.4</v>
      </c>
      <c r="J206" s="5" t="n">
        <v>7.4</v>
      </c>
      <c r="K206" s="5" t="n">
        <v>130</v>
      </c>
      <c r="L206" s="5" t="n">
        <v>150</v>
      </c>
      <c r="M206" s="5" t="n">
        <v>0</v>
      </c>
      <c r="N206" s="5" t="n">
        <v>0.5</v>
      </c>
      <c r="O206" s="5" t="n">
        <v>180</v>
      </c>
      <c r="P206" s="5" t="n">
        <v>0.1</v>
      </c>
      <c r="Q206" s="5" t="n">
        <v>0.2</v>
      </c>
      <c r="R206" s="5" t="n">
        <v>1.5</v>
      </c>
      <c r="S206" s="5" t="n">
        <v>0.16</v>
      </c>
      <c r="T206" s="5" t="n">
        <v>50</v>
      </c>
      <c r="U206" s="5" t="n">
        <v>0</v>
      </c>
      <c r="V206" s="5" t="n">
        <v>90</v>
      </c>
      <c r="W206" s="5" t="n">
        <v>1.2</v>
      </c>
      <c r="X206" s="5" t="n">
        <v>30</v>
      </c>
      <c r="Y206" s="5" t="n">
        <v>0.4</v>
      </c>
      <c r="Z206" s="5" t="n">
        <v>320</v>
      </c>
      <c r="AA206" s="7" t="n">
        <v>2.2</v>
      </c>
    </row>
    <row r="207" customFormat="false" ht="26.25" hidden="false" customHeight="true" outlineLevel="0" collapsed="false">
      <c r="A207" s="4" t="s">
        <v>252</v>
      </c>
      <c r="B207" s="4" t="s">
        <v>253</v>
      </c>
      <c r="C207" s="5" t="n">
        <v>4</v>
      </c>
      <c r="D207" s="5"/>
      <c r="E207" s="4" t="s">
        <v>29</v>
      </c>
      <c r="F207" s="6" t="s">
        <v>253</v>
      </c>
      <c r="G207" s="5" t="n">
        <v>282</v>
      </c>
      <c r="H207" s="5" t="n">
        <v>13</v>
      </c>
      <c r="I207" s="5" t="n">
        <v>14</v>
      </c>
      <c r="J207" s="5" t="n">
        <v>54</v>
      </c>
      <c r="K207" s="5" t="n">
        <v>5350</v>
      </c>
      <c r="L207" s="5" t="n">
        <v>0.9</v>
      </c>
      <c r="M207" s="5" t="n">
        <v>0</v>
      </c>
      <c r="N207" s="5" t="n">
        <v>29.1</v>
      </c>
      <c r="O207" s="5" t="n">
        <v>0</v>
      </c>
      <c r="P207" s="5" t="n">
        <v>0.65</v>
      </c>
      <c r="Q207" s="5" t="n">
        <v>1.24</v>
      </c>
      <c r="R207" s="5" t="n">
        <v>10.6</v>
      </c>
      <c r="S207" s="5" t="n">
        <v>2.1</v>
      </c>
      <c r="T207" s="5" t="n">
        <v>106</v>
      </c>
      <c r="U207" s="5" t="n">
        <v>0</v>
      </c>
      <c r="V207" s="5" t="n">
        <v>229</v>
      </c>
      <c r="W207" s="5" t="n">
        <v>21</v>
      </c>
      <c r="X207" s="5" t="n">
        <v>178</v>
      </c>
      <c r="Y207" s="5" t="n">
        <v>4.3</v>
      </c>
      <c r="Z207" s="5" t="n">
        <v>2280</v>
      </c>
      <c r="AA207" s="7" t="n">
        <v>29.7</v>
      </c>
    </row>
    <row r="208" customFormat="false" ht="26.25" hidden="false" customHeight="true" outlineLevel="0" collapsed="false">
      <c r="A208" s="4" t="s">
        <v>254</v>
      </c>
      <c r="B208" s="4" t="s">
        <v>253</v>
      </c>
      <c r="C208" s="5" t="n">
        <v>4</v>
      </c>
      <c r="D208" s="5"/>
      <c r="E208" s="4" t="s">
        <v>29</v>
      </c>
      <c r="F208" s="6" t="s">
        <v>253</v>
      </c>
      <c r="G208" s="5" t="n">
        <v>282</v>
      </c>
      <c r="H208" s="5" t="n">
        <v>13</v>
      </c>
      <c r="I208" s="5" t="n">
        <v>14</v>
      </c>
      <c r="J208" s="5" t="n">
        <v>54</v>
      </c>
      <c r="K208" s="5" t="n">
        <v>5000</v>
      </c>
      <c r="L208" s="5" t="n">
        <v>0.9</v>
      </c>
      <c r="M208" s="5" t="n">
        <v>0</v>
      </c>
      <c r="N208" s="5" t="n">
        <v>29.1</v>
      </c>
      <c r="O208" s="5" t="n">
        <v>0</v>
      </c>
      <c r="P208" s="5" t="n">
        <v>0.65</v>
      </c>
      <c r="Q208" s="5" t="n">
        <v>1.24</v>
      </c>
      <c r="R208" s="5" t="n">
        <v>10.6</v>
      </c>
      <c r="S208" s="5" t="n">
        <v>2.1</v>
      </c>
      <c r="T208" s="5" t="n">
        <v>106</v>
      </c>
      <c r="U208" s="5" t="n">
        <v>0</v>
      </c>
      <c r="V208" s="5" t="n">
        <v>229</v>
      </c>
      <c r="W208" s="5" t="n">
        <v>21</v>
      </c>
      <c r="X208" s="5" t="n">
        <v>178</v>
      </c>
      <c r="Y208" s="5" t="n">
        <v>4.3</v>
      </c>
      <c r="Z208" s="5" t="n">
        <v>2280</v>
      </c>
      <c r="AA208" s="7" t="n">
        <v>29.7</v>
      </c>
    </row>
    <row r="209" customFormat="false" ht="26.25" hidden="false" customHeight="true" outlineLevel="0" collapsed="false">
      <c r="A209" s="4" t="s">
        <v>255</v>
      </c>
      <c r="B209" s="4" t="s">
        <v>253</v>
      </c>
      <c r="C209" s="5" t="n">
        <v>4</v>
      </c>
      <c r="D209" s="5"/>
      <c r="E209" s="4" t="s">
        <v>29</v>
      </c>
      <c r="F209" s="6" t="s">
        <v>253</v>
      </c>
      <c r="G209" s="5" t="n">
        <v>325</v>
      </c>
      <c r="H209" s="5" t="n">
        <v>14</v>
      </c>
      <c r="I209" s="5" t="n">
        <v>13</v>
      </c>
      <c r="J209" s="5" t="n">
        <v>58</v>
      </c>
      <c r="K209" s="5" t="n">
        <v>152</v>
      </c>
      <c r="L209" s="5" t="n">
        <v>11</v>
      </c>
      <c r="M209" s="5" t="n">
        <v>0</v>
      </c>
      <c r="N209" s="5" t="n">
        <v>15</v>
      </c>
      <c r="O209" s="5" t="n">
        <v>0</v>
      </c>
      <c r="P209" s="5" t="n">
        <v>0.3</v>
      </c>
      <c r="Q209" s="5" t="n">
        <v>0.3</v>
      </c>
      <c r="R209" s="5" t="n">
        <v>3.6</v>
      </c>
      <c r="S209" s="5" t="n">
        <v>0.9</v>
      </c>
      <c r="T209" s="5" t="n">
        <v>16</v>
      </c>
      <c r="U209" s="5" t="n">
        <v>0</v>
      </c>
      <c r="V209" s="5" t="n">
        <v>478</v>
      </c>
      <c r="W209" s="5" t="n">
        <v>29</v>
      </c>
      <c r="X209" s="5" t="n">
        <v>255</v>
      </c>
      <c r="Y209" s="5" t="n">
        <v>3.5</v>
      </c>
      <c r="Z209" s="5" t="n">
        <v>1420</v>
      </c>
      <c r="AA209" s="7" t="n">
        <v>5.8</v>
      </c>
    </row>
    <row r="210" customFormat="false" ht="26.25" hidden="false" customHeight="true" outlineLevel="0" collapsed="false">
      <c r="A210" s="4" t="s">
        <v>256</v>
      </c>
      <c r="B210" s="4" t="s">
        <v>253</v>
      </c>
      <c r="C210" s="5" t="n">
        <v>3.5</v>
      </c>
      <c r="D210" s="5"/>
      <c r="E210" s="4" t="s">
        <v>29</v>
      </c>
      <c r="F210" s="6" t="s">
        <v>253</v>
      </c>
      <c r="G210" s="5" t="n">
        <v>375</v>
      </c>
      <c r="H210" s="5" t="n">
        <v>22</v>
      </c>
      <c r="I210" s="5" t="n">
        <v>18</v>
      </c>
      <c r="J210" s="5" t="n">
        <v>44</v>
      </c>
      <c r="K210" s="5" t="n">
        <v>64</v>
      </c>
      <c r="L210" s="5" t="n">
        <v>7.7</v>
      </c>
      <c r="M210" s="5" t="n">
        <v>0</v>
      </c>
      <c r="N210" s="5" t="n">
        <v>3.3</v>
      </c>
      <c r="O210" s="5" t="n">
        <v>5</v>
      </c>
      <c r="P210" s="5" t="n">
        <v>0.63</v>
      </c>
      <c r="Q210" s="5" t="n">
        <v>0.32</v>
      </c>
      <c r="R210" s="5" t="n">
        <v>4.6</v>
      </c>
      <c r="S210" s="5" t="n">
        <v>0.4</v>
      </c>
      <c r="T210" s="5" t="n">
        <v>10</v>
      </c>
      <c r="U210" s="5" t="n">
        <v>0</v>
      </c>
      <c r="V210" s="5" t="n">
        <v>931</v>
      </c>
      <c r="W210" s="5" t="n">
        <v>66</v>
      </c>
      <c r="X210" s="5" t="n">
        <v>366</v>
      </c>
      <c r="Y210" s="5" t="n">
        <v>4.8</v>
      </c>
      <c r="Z210" s="5" t="n">
        <v>1790</v>
      </c>
      <c r="AA210" s="7" t="n">
        <v>6.6</v>
      </c>
    </row>
    <row r="211" customFormat="false" ht="26.25" hidden="false" customHeight="true" outlineLevel="0" collapsed="false">
      <c r="A211" s="4" t="s">
        <v>257</v>
      </c>
      <c r="B211" s="4" t="s">
        <v>253</v>
      </c>
      <c r="C211" s="5" t="n">
        <v>3.5</v>
      </c>
      <c r="D211" s="5"/>
      <c r="E211" s="4" t="s">
        <v>29</v>
      </c>
      <c r="F211" s="6" t="s">
        <v>253</v>
      </c>
      <c r="G211" s="5" t="n">
        <v>247</v>
      </c>
      <c r="H211" s="5" t="n">
        <v>1.2</v>
      </c>
      <c r="I211" s="5" t="n">
        <v>4</v>
      </c>
      <c r="J211" s="5" t="n">
        <v>81</v>
      </c>
      <c r="K211" s="5" t="n">
        <v>15</v>
      </c>
      <c r="L211" s="5" t="n">
        <v>3.8</v>
      </c>
      <c r="M211" s="5" t="n">
        <v>0</v>
      </c>
      <c r="N211" s="5" t="n">
        <v>2.3</v>
      </c>
      <c r="O211" s="5" t="n">
        <v>31</v>
      </c>
      <c r="P211" s="5" t="n">
        <v>0.02</v>
      </c>
      <c r="Q211" s="5" t="n">
        <v>0.04</v>
      </c>
      <c r="R211" s="5" t="n">
        <v>1.3</v>
      </c>
      <c r="S211" s="5" t="n">
        <v>0.16</v>
      </c>
      <c r="T211" s="5" t="n">
        <v>6</v>
      </c>
      <c r="U211" s="5" t="n">
        <v>0</v>
      </c>
      <c r="V211" s="5" t="n">
        <v>1002</v>
      </c>
      <c r="W211" s="5" t="n">
        <v>8.3</v>
      </c>
      <c r="X211" s="5" t="n">
        <v>60</v>
      </c>
      <c r="Y211" s="5" t="n">
        <v>1.8</v>
      </c>
      <c r="Z211" s="5" t="n">
        <v>431</v>
      </c>
      <c r="AA211" s="7" t="n">
        <v>12.2</v>
      </c>
    </row>
    <row r="212" customFormat="false" ht="26.25" hidden="false" customHeight="true" outlineLevel="0" collapsed="false">
      <c r="A212" s="4" t="s">
        <v>258</v>
      </c>
      <c r="B212" s="4" t="s">
        <v>253</v>
      </c>
      <c r="C212" s="5" t="n">
        <v>5</v>
      </c>
      <c r="D212" s="5"/>
      <c r="E212" s="4" t="s">
        <v>29</v>
      </c>
      <c r="F212" s="6" t="s">
        <v>253</v>
      </c>
      <c r="G212" s="5" t="n">
        <v>525</v>
      </c>
      <c r="H212" s="5" t="n">
        <v>36</v>
      </c>
      <c r="I212" s="5" t="n">
        <v>6</v>
      </c>
      <c r="J212" s="5" t="n">
        <v>49</v>
      </c>
      <c r="K212" s="5" t="n">
        <v>5</v>
      </c>
      <c r="L212" s="5" t="n">
        <v>3</v>
      </c>
      <c r="M212" s="5" t="n">
        <v>0</v>
      </c>
      <c r="N212" s="5" t="n">
        <v>0</v>
      </c>
      <c r="O212" s="5" t="n">
        <v>0</v>
      </c>
      <c r="P212" s="5" t="n">
        <v>0.35</v>
      </c>
      <c r="Q212" s="5" t="n">
        <v>0.06</v>
      </c>
      <c r="R212" s="5" t="n">
        <v>1.3</v>
      </c>
      <c r="S212" s="5" t="n">
        <v>0.16</v>
      </c>
      <c r="T212" s="5" t="n">
        <v>76</v>
      </c>
      <c r="U212" s="5" t="n">
        <v>0</v>
      </c>
      <c r="V212" s="5" t="n">
        <v>184</v>
      </c>
      <c r="W212" s="5" t="n">
        <v>3</v>
      </c>
      <c r="X212" s="5" t="n">
        <v>183</v>
      </c>
      <c r="Y212" s="5" t="n">
        <v>2.3</v>
      </c>
      <c r="Z212" s="5" t="n">
        <v>350</v>
      </c>
      <c r="AA212" s="7" t="n">
        <v>7.3</v>
      </c>
    </row>
    <row r="213" customFormat="false" ht="26.25" hidden="false" customHeight="true" outlineLevel="0" collapsed="false">
      <c r="A213" s="4" t="s">
        <v>259</v>
      </c>
      <c r="B213" s="4" t="s">
        <v>253</v>
      </c>
      <c r="C213" s="5" t="n">
        <v>5</v>
      </c>
      <c r="D213" s="5"/>
      <c r="E213" s="4" t="s">
        <v>29</v>
      </c>
      <c r="F213" s="6" t="s">
        <v>253</v>
      </c>
      <c r="G213" s="5" t="n">
        <v>274</v>
      </c>
      <c r="H213" s="5" t="n">
        <v>13</v>
      </c>
      <c r="I213" s="5" t="n">
        <v>6</v>
      </c>
      <c r="J213" s="5" t="n">
        <v>66</v>
      </c>
      <c r="K213" s="5" t="n">
        <v>160</v>
      </c>
      <c r="L213" s="5" t="n">
        <v>0.2</v>
      </c>
      <c r="M213" s="5" t="n">
        <v>0</v>
      </c>
      <c r="N213" s="5" t="n">
        <v>8.8</v>
      </c>
      <c r="O213" s="5" t="n">
        <v>142</v>
      </c>
      <c r="P213" s="5" t="n">
        <v>0.12</v>
      </c>
      <c r="Q213" s="5" t="n">
        <v>0.27</v>
      </c>
      <c r="R213" s="5" t="n">
        <v>1.5</v>
      </c>
      <c r="S213" s="5" t="n">
        <v>0.21</v>
      </c>
      <c r="T213" s="5" t="n">
        <v>25</v>
      </c>
      <c r="U213" s="5" t="n">
        <v>0</v>
      </c>
      <c r="V213" s="5" t="n">
        <v>632</v>
      </c>
      <c r="W213" s="5" t="n">
        <v>12</v>
      </c>
      <c r="X213" s="5" t="n">
        <v>259</v>
      </c>
      <c r="Y213" s="5" t="n">
        <v>1.5</v>
      </c>
      <c r="Z213" s="5" t="n">
        <v>1020</v>
      </c>
      <c r="AA213" s="7" t="n">
        <v>9.9</v>
      </c>
    </row>
    <row r="214" customFormat="false" ht="26.25" hidden="false" customHeight="true" outlineLevel="0" collapsed="false">
      <c r="A214" s="4" t="s">
        <v>260</v>
      </c>
      <c r="B214" s="4" t="s">
        <v>253</v>
      </c>
      <c r="C214" s="5" t="n">
        <v>5</v>
      </c>
      <c r="D214" s="5"/>
      <c r="E214" s="4" t="s">
        <v>29</v>
      </c>
      <c r="F214" s="6" t="s">
        <v>253</v>
      </c>
      <c r="G214" s="5" t="n">
        <v>311</v>
      </c>
      <c r="H214" s="5" t="n">
        <v>6.7</v>
      </c>
      <c r="I214" s="5" t="n">
        <v>10.8</v>
      </c>
      <c r="J214" s="5" t="n">
        <v>68</v>
      </c>
      <c r="K214" s="5" t="n">
        <v>0</v>
      </c>
      <c r="L214" s="5" t="n">
        <v>21</v>
      </c>
      <c r="M214" s="5" t="n">
        <v>0</v>
      </c>
      <c r="N214" s="5" t="n">
        <v>0</v>
      </c>
      <c r="O214" s="5" t="n">
        <v>0</v>
      </c>
      <c r="P214" s="5" t="n">
        <v>0.2</v>
      </c>
      <c r="Q214" s="5" t="n">
        <v>0.18</v>
      </c>
      <c r="R214" s="5" t="n">
        <v>1.1</v>
      </c>
      <c r="S214" s="5" t="n">
        <v>0.23</v>
      </c>
      <c r="T214" s="5" t="n">
        <v>0</v>
      </c>
      <c r="U214" s="5" t="n">
        <v>0</v>
      </c>
      <c r="V214" s="5" t="n">
        <v>383</v>
      </c>
      <c r="W214" s="5" t="n">
        <v>14</v>
      </c>
      <c r="X214" s="5" t="n">
        <v>229</v>
      </c>
      <c r="Y214" s="5" t="n">
        <v>7.5</v>
      </c>
      <c r="Z214" s="5" t="n">
        <v>1120</v>
      </c>
      <c r="AA214" s="7" t="n">
        <v>10.2</v>
      </c>
    </row>
    <row r="215" customFormat="false" ht="26.25" hidden="false" customHeight="true" outlineLevel="0" collapsed="false">
      <c r="A215" s="4" t="s">
        <v>261</v>
      </c>
      <c r="B215" s="4" t="s">
        <v>253</v>
      </c>
      <c r="C215" s="5" t="n">
        <v>4</v>
      </c>
      <c r="D215" s="5"/>
      <c r="E215" s="4" t="s">
        <v>29</v>
      </c>
      <c r="F215" s="6" t="s">
        <v>253</v>
      </c>
      <c r="G215" s="5" t="n">
        <v>318</v>
      </c>
      <c r="H215" s="5" t="n">
        <v>17</v>
      </c>
      <c r="I215" s="5" t="n">
        <v>12</v>
      </c>
      <c r="J215" s="5" t="n">
        <v>57</v>
      </c>
      <c r="K215" s="5" t="n">
        <v>2081</v>
      </c>
      <c r="L215" s="5" t="n">
        <v>76</v>
      </c>
      <c r="M215" s="5" t="n">
        <v>0</v>
      </c>
      <c r="N215" s="5" t="n">
        <v>29.8</v>
      </c>
      <c r="O215" s="5" t="n">
        <v>0</v>
      </c>
      <c r="P215" s="5" t="n">
        <v>0.33</v>
      </c>
      <c r="Q215" s="5" t="n">
        <v>0.92</v>
      </c>
      <c r="R215" s="5" t="n">
        <v>8.7</v>
      </c>
      <c r="S215" s="5" t="n">
        <v>2.4</v>
      </c>
      <c r="T215" s="5" t="n">
        <v>106</v>
      </c>
      <c r="U215" s="5" t="n">
        <v>0</v>
      </c>
      <c r="V215" s="5" t="n">
        <v>148</v>
      </c>
      <c r="W215" s="5" t="n">
        <v>17</v>
      </c>
      <c r="X215" s="5" t="n">
        <v>152</v>
      </c>
      <c r="Y215" s="5" t="n">
        <v>2.5</v>
      </c>
      <c r="Z215" s="5" t="n">
        <v>2010</v>
      </c>
      <c r="AA215" s="7" t="n">
        <v>2.9</v>
      </c>
    </row>
    <row r="216" customFormat="false" ht="26.25" hidden="false" customHeight="true" outlineLevel="0" collapsed="false">
      <c r="A216" s="4" t="s">
        <v>262</v>
      </c>
      <c r="B216" s="4" t="s">
        <v>253</v>
      </c>
      <c r="C216" s="5" t="n">
        <v>3</v>
      </c>
      <c r="D216" s="5"/>
      <c r="E216" s="4" t="s">
        <v>29</v>
      </c>
      <c r="F216" s="6" t="s">
        <v>253</v>
      </c>
      <c r="G216" s="5" t="n">
        <v>333</v>
      </c>
      <c r="H216" s="5" t="n">
        <v>14</v>
      </c>
      <c r="I216" s="5" t="n">
        <v>20</v>
      </c>
      <c r="J216" s="5" t="n">
        <v>50</v>
      </c>
      <c r="K216" s="5" t="n">
        <v>2</v>
      </c>
      <c r="L216" s="5" t="n">
        <v>21</v>
      </c>
      <c r="M216" s="5" t="n">
        <v>0</v>
      </c>
      <c r="N216" s="5" t="n">
        <v>2.5</v>
      </c>
      <c r="O216" s="5" t="n">
        <v>0</v>
      </c>
      <c r="P216" s="5" t="n">
        <v>0.38</v>
      </c>
      <c r="Q216" s="5" t="n">
        <v>0.38</v>
      </c>
      <c r="R216" s="5" t="n">
        <v>3.6</v>
      </c>
      <c r="S216" s="5" t="n">
        <v>0.36</v>
      </c>
      <c r="T216" s="5" t="n">
        <v>10</v>
      </c>
      <c r="U216" s="5" t="n">
        <v>0</v>
      </c>
      <c r="V216" s="5" t="n">
        <v>689</v>
      </c>
      <c r="W216" s="5" t="n">
        <v>16</v>
      </c>
      <c r="X216" s="5" t="n">
        <v>258</v>
      </c>
      <c r="Y216" s="5" t="n">
        <v>5.5</v>
      </c>
      <c r="Z216" s="5" t="n">
        <v>1350</v>
      </c>
      <c r="AA216" s="7" t="n">
        <v>7.5</v>
      </c>
    </row>
    <row r="217" customFormat="false" ht="26.25" hidden="false" customHeight="true" outlineLevel="0" collapsed="false">
      <c r="A217" s="4" t="s">
        <v>263</v>
      </c>
      <c r="B217" s="4" t="s">
        <v>253</v>
      </c>
      <c r="C217" s="5" t="n">
        <v>3</v>
      </c>
      <c r="D217" s="5"/>
      <c r="E217" s="4" t="s">
        <v>29</v>
      </c>
      <c r="F217" s="6" t="s">
        <v>253</v>
      </c>
      <c r="G217" s="5" t="n">
        <v>345</v>
      </c>
      <c r="H217" s="5" t="n">
        <v>15</v>
      </c>
      <c r="I217" s="5" t="n">
        <v>16</v>
      </c>
      <c r="J217" s="5" t="n">
        <v>52</v>
      </c>
      <c r="K217" s="5" t="n">
        <v>7</v>
      </c>
      <c r="L217" s="5" t="n">
        <v>21</v>
      </c>
      <c r="M217" s="5" t="n">
        <v>0</v>
      </c>
      <c r="N217" s="5" t="n">
        <v>0</v>
      </c>
      <c r="O217" s="5" t="n">
        <v>0</v>
      </c>
      <c r="P217" s="5" t="n">
        <v>0.41</v>
      </c>
      <c r="Q217" s="5" t="n">
        <v>0.35</v>
      </c>
      <c r="R217" s="5" t="n">
        <v>6.1</v>
      </c>
      <c r="S217" s="5" t="n">
        <v>0.47</v>
      </c>
      <c r="T217" s="5" t="n">
        <v>10</v>
      </c>
      <c r="U217" s="5" t="n">
        <v>0</v>
      </c>
      <c r="V217" s="5" t="n">
        <v>1196</v>
      </c>
      <c r="W217" s="5" t="n">
        <v>19</v>
      </c>
      <c r="X217" s="5" t="n">
        <v>385</v>
      </c>
      <c r="Y217" s="5" t="n">
        <v>3.7</v>
      </c>
      <c r="Z217" s="5" t="n">
        <v>1694</v>
      </c>
      <c r="AA217" s="7" t="n">
        <v>18.2</v>
      </c>
    </row>
    <row r="218" customFormat="false" ht="26.25" hidden="false" customHeight="true" outlineLevel="0" collapsed="false">
      <c r="A218" s="4" t="s">
        <v>264</v>
      </c>
      <c r="B218" s="4" t="s">
        <v>253</v>
      </c>
      <c r="C218" s="5" t="n">
        <v>3</v>
      </c>
      <c r="D218" s="5"/>
      <c r="E218" s="4" t="s">
        <v>29</v>
      </c>
      <c r="F218" s="6" t="s">
        <v>253</v>
      </c>
      <c r="G218" s="5" t="n">
        <v>337</v>
      </c>
      <c r="H218" s="5" t="n">
        <v>16</v>
      </c>
      <c r="I218" s="5" t="n">
        <v>18</v>
      </c>
      <c r="J218" s="5" t="n">
        <v>50</v>
      </c>
      <c r="K218" s="5" t="n">
        <v>0</v>
      </c>
      <c r="L218" s="5" t="n">
        <v>21</v>
      </c>
      <c r="M218" s="5" t="n">
        <v>0</v>
      </c>
      <c r="N218" s="5" t="n">
        <v>0</v>
      </c>
      <c r="O218" s="5" t="n">
        <v>0</v>
      </c>
      <c r="P218" s="5" t="n">
        <v>0.34</v>
      </c>
      <c r="Q218" s="5" t="n">
        <v>0.29</v>
      </c>
      <c r="R218" s="5" t="n">
        <v>3.1</v>
      </c>
      <c r="S218" s="5" t="n">
        <v>0.65</v>
      </c>
      <c r="T218" s="5" t="n">
        <v>10</v>
      </c>
      <c r="U218" s="5" t="n">
        <v>0</v>
      </c>
      <c r="V218" s="5" t="n">
        <v>646</v>
      </c>
      <c r="W218" s="5" t="n">
        <v>37</v>
      </c>
      <c r="X218" s="5" t="n">
        <v>170</v>
      </c>
      <c r="Y218" s="5" t="n">
        <v>5.3</v>
      </c>
      <c r="Z218" s="5" t="n">
        <v>1441</v>
      </c>
      <c r="AA218" s="7" t="n">
        <v>7.5</v>
      </c>
    </row>
    <row r="219" customFormat="false" ht="26.25" hidden="false" customHeight="true" outlineLevel="0" collapsed="false">
      <c r="A219" s="4" t="s">
        <v>265</v>
      </c>
      <c r="B219" s="4" t="s">
        <v>253</v>
      </c>
      <c r="C219" s="5" t="n">
        <v>4</v>
      </c>
      <c r="D219" s="5"/>
      <c r="E219" s="4" t="s">
        <v>29</v>
      </c>
      <c r="F219" s="6" t="s">
        <v>253</v>
      </c>
      <c r="G219" s="5" t="n">
        <v>337</v>
      </c>
      <c r="H219" s="5" t="n">
        <v>16</v>
      </c>
      <c r="I219" s="5" t="n">
        <v>18</v>
      </c>
      <c r="J219" s="5" t="n">
        <v>50</v>
      </c>
      <c r="K219" s="5" t="n">
        <v>0</v>
      </c>
      <c r="L219" s="5" t="n">
        <v>21</v>
      </c>
      <c r="M219" s="5" t="n">
        <v>0</v>
      </c>
      <c r="N219" s="5" t="n">
        <v>0</v>
      </c>
      <c r="O219" s="5" t="n">
        <v>0</v>
      </c>
      <c r="P219" s="5" t="n">
        <v>0.34</v>
      </c>
      <c r="Q219" s="5" t="n">
        <v>0.29</v>
      </c>
      <c r="R219" s="5" t="n">
        <v>3.1</v>
      </c>
      <c r="S219" s="5" t="n">
        <v>0.65</v>
      </c>
      <c r="T219" s="5" t="n">
        <v>10</v>
      </c>
      <c r="U219" s="5" t="n">
        <v>0</v>
      </c>
      <c r="V219" s="5" t="n">
        <v>646</v>
      </c>
      <c r="W219" s="5" t="n">
        <v>37</v>
      </c>
      <c r="X219" s="5" t="n">
        <v>170</v>
      </c>
      <c r="Y219" s="5" t="n">
        <v>5.3</v>
      </c>
      <c r="Z219" s="5" t="n">
        <v>1441</v>
      </c>
      <c r="AA219" s="7" t="n">
        <v>7.5</v>
      </c>
    </row>
    <row r="220" customFormat="false" ht="26.25" hidden="false" customHeight="true" outlineLevel="0" collapsed="false">
      <c r="A220" s="4" t="s">
        <v>266</v>
      </c>
      <c r="B220" s="4" t="s">
        <v>253</v>
      </c>
      <c r="C220" s="5" t="n">
        <v>8</v>
      </c>
      <c r="D220" s="5"/>
      <c r="E220" s="4" t="s">
        <v>29</v>
      </c>
      <c r="F220" s="6" t="s">
        <v>253</v>
      </c>
      <c r="G220" s="5" t="n">
        <v>288</v>
      </c>
      <c r="H220" s="5" t="n">
        <v>0.1</v>
      </c>
      <c r="I220" s="5" t="n">
        <v>0.1</v>
      </c>
      <c r="J220" s="5" t="n">
        <v>13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0.32</v>
      </c>
      <c r="R220" s="5" t="n">
        <v>2.5</v>
      </c>
      <c r="S220" s="5" t="n">
        <v>0.03</v>
      </c>
      <c r="T220" s="5" t="n">
        <v>0</v>
      </c>
      <c r="U220" s="5" t="n">
        <v>0</v>
      </c>
      <c r="V220" s="5" t="n">
        <v>11</v>
      </c>
      <c r="W220" s="5" t="n">
        <v>0.1</v>
      </c>
      <c r="X220" s="5" t="n">
        <v>12</v>
      </c>
      <c r="Y220" s="5" t="n">
        <v>0.1</v>
      </c>
      <c r="Z220" s="5" t="n">
        <v>148</v>
      </c>
      <c r="AA220" s="7" t="n">
        <v>1.9</v>
      </c>
    </row>
    <row r="221" customFormat="false" ht="26.25" hidden="false" customHeight="true" outlineLevel="0" collapsed="false">
      <c r="A221" s="4" t="s">
        <v>267</v>
      </c>
      <c r="B221" s="4" t="s">
        <v>253</v>
      </c>
      <c r="C221" s="5" t="n">
        <v>15</v>
      </c>
      <c r="D221" s="5"/>
      <c r="E221" s="4" t="s">
        <v>29</v>
      </c>
      <c r="F221" s="6" t="s">
        <v>253</v>
      </c>
      <c r="G221" s="5" t="n">
        <v>310</v>
      </c>
      <c r="H221" s="5" t="n">
        <v>6</v>
      </c>
      <c r="I221" s="5" t="n">
        <v>11.4</v>
      </c>
      <c r="J221" s="5" t="n">
        <v>65</v>
      </c>
      <c r="K221" s="5" t="n">
        <v>0</v>
      </c>
      <c r="L221" s="5" t="n">
        <v>80.8</v>
      </c>
      <c r="M221" s="5" t="n">
        <v>0</v>
      </c>
      <c r="N221" s="5" t="n">
        <v>1</v>
      </c>
      <c r="O221" s="5" t="n">
        <v>0</v>
      </c>
      <c r="P221" s="5" t="n">
        <v>0.12</v>
      </c>
      <c r="Q221" s="5" t="n">
        <v>0.27</v>
      </c>
      <c r="R221" s="5" t="n">
        <v>1.5</v>
      </c>
      <c r="S221" s="5" t="n">
        <v>1</v>
      </c>
      <c r="T221" s="5" t="n">
        <v>93</v>
      </c>
      <c r="U221" s="5" t="n">
        <v>0</v>
      </c>
      <c r="V221" s="5" t="n">
        <v>111</v>
      </c>
      <c r="W221" s="5" t="n">
        <v>11</v>
      </c>
      <c r="X221" s="5" t="n">
        <v>264</v>
      </c>
      <c r="Y221" s="5" t="n">
        <v>1.1</v>
      </c>
      <c r="Z221" s="5" t="n">
        <v>1724</v>
      </c>
      <c r="AA221" s="7" t="n">
        <v>9.8</v>
      </c>
    </row>
    <row r="222" customFormat="false" ht="26.25" hidden="false" customHeight="true" outlineLevel="0" collapsed="false">
      <c r="A222" s="4" t="s">
        <v>268</v>
      </c>
      <c r="B222" s="4" t="s">
        <v>253</v>
      </c>
      <c r="C222" s="5" t="n">
        <v>4</v>
      </c>
      <c r="D222" s="5"/>
      <c r="E222" s="4" t="s">
        <v>29</v>
      </c>
      <c r="F222" s="6" t="s">
        <v>253</v>
      </c>
      <c r="G222" s="5" t="n">
        <v>263</v>
      </c>
      <c r="H222" s="5" t="n">
        <v>8.7</v>
      </c>
      <c r="I222" s="5" t="n">
        <v>6.1</v>
      </c>
      <c r="J222" s="5" t="n">
        <v>72</v>
      </c>
      <c r="K222" s="5" t="n">
        <v>0</v>
      </c>
      <c r="L222" s="5" t="n">
        <v>39</v>
      </c>
      <c r="M222" s="5" t="n">
        <v>0</v>
      </c>
      <c r="N222" s="5" t="n">
        <v>0</v>
      </c>
      <c r="O222" s="5" t="n">
        <v>0</v>
      </c>
      <c r="P222" s="5" t="n">
        <v>0.1</v>
      </c>
      <c r="Q222" s="5" t="n">
        <v>0.06</v>
      </c>
      <c r="R222" s="5" t="n">
        <v>2.9</v>
      </c>
      <c r="S222" s="5" t="n">
        <v>0.21</v>
      </c>
      <c r="T222" s="5" t="n">
        <v>0</v>
      </c>
      <c r="U222" s="5" t="n">
        <v>0</v>
      </c>
      <c r="V222" s="5" t="n">
        <v>661</v>
      </c>
      <c r="W222" s="5" t="n">
        <v>8.4</v>
      </c>
      <c r="X222" s="5" t="n">
        <v>135</v>
      </c>
      <c r="Y222" s="5" t="n">
        <v>0.9</v>
      </c>
      <c r="Z222" s="5" t="n">
        <v>1044</v>
      </c>
      <c r="AA222" s="7" t="n">
        <v>10.8</v>
      </c>
    </row>
    <row r="223" customFormat="false" ht="26.25" hidden="false" customHeight="true" outlineLevel="0" collapsed="false">
      <c r="A223" s="4" t="s">
        <v>269</v>
      </c>
      <c r="B223" s="4" t="s">
        <v>253</v>
      </c>
      <c r="C223" s="5" t="n">
        <v>3</v>
      </c>
      <c r="D223" s="5"/>
      <c r="E223" s="4" t="s">
        <v>29</v>
      </c>
      <c r="F223" s="6" t="s">
        <v>253</v>
      </c>
      <c r="G223" s="5" t="n">
        <v>251</v>
      </c>
      <c r="H223" s="5" t="n">
        <v>3.3</v>
      </c>
      <c r="I223" s="5" t="n">
        <v>10.4</v>
      </c>
      <c r="J223" s="5" t="n">
        <v>64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164</v>
      </c>
      <c r="P223" s="5" t="n">
        <v>0.11</v>
      </c>
      <c r="Q223" s="5" t="n">
        <v>0.24</v>
      </c>
      <c r="R223" s="5" t="n">
        <v>1.1</v>
      </c>
      <c r="S223" s="5" t="n">
        <v>0.34</v>
      </c>
      <c r="T223" s="5" t="n">
        <v>10</v>
      </c>
      <c r="U223" s="5" t="n">
        <v>0</v>
      </c>
      <c r="V223" s="5" t="n">
        <v>443</v>
      </c>
      <c r="W223" s="5" t="n">
        <v>28</v>
      </c>
      <c r="X223" s="5" t="n">
        <v>171</v>
      </c>
      <c r="Y223" s="5" t="n">
        <v>1.2</v>
      </c>
      <c r="Z223" s="5" t="n">
        <v>1329</v>
      </c>
      <c r="AA223" s="7" t="n">
        <v>3.2</v>
      </c>
    </row>
    <row r="224" customFormat="false" ht="26.25" hidden="false" customHeight="true" outlineLevel="0" collapsed="false">
      <c r="A224" s="4" t="s">
        <v>270</v>
      </c>
      <c r="B224" s="4" t="s">
        <v>253</v>
      </c>
      <c r="C224" s="5" t="n">
        <v>3</v>
      </c>
      <c r="D224" s="5"/>
      <c r="E224" s="4" t="s">
        <v>29</v>
      </c>
      <c r="F224" s="6" t="s">
        <v>253</v>
      </c>
      <c r="G224" s="5" t="n">
        <v>296</v>
      </c>
      <c r="H224" s="5" t="n">
        <v>2.1</v>
      </c>
      <c r="I224" s="5" t="n">
        <v>10.4</v>
      </c>
      <c r="J224" s="5" t="n">
        <v>69</v>
      </c>
      <c r="K224" s="5" t="n">
        <v>0</v>
      </c>
      <c r="L224" s="5" t="n">
        <v>21</v>
      </c>
      <c r="M224" s="5" t="n">
        <v>0</v>
      </c>
      <c r="N224" s="5" t="n">
        <v>0</v>
      </c>
      <c r="O224" s="5" t="n">
        <v>0</v>
      </c>
      <c r="P224" s="5" t="n">
        <v>0.02</v>
      </c>
      <c r="Q224" s="5" t="n">
        <v>0.16</v>
      </c>
      <c r="R224" s="5" t="n">
        <v>0.3</v>
      </c>
      <c r="S224" s="5" t="n">
        <v>0.29</v>
      </c>
      <c r="T224" s="5" t="n">
        <v>10</v>
      </c>
      <c r="U224" s="5" t="n">
        <v>0</v>
      </c>
      <c r="V224" s="5" t="n">
        <v>265</v>
      </c>
      <c r="W224" s="5" t="n">
        <v>14</v>
      </c>
      <c r="X224" s="5" t="n">
        <v>90</v>
      </c>
      <c r="Y224" s="5" t="n">
        <v>1.1</v>
      </c>
      <c r="Z224" s="5" t="n">
        <v>73</v>
      </c>
      <c r="AA224" s="7" t="n">
        <v>3.5</v>
      </c>
    </row>
    <row r="225" customFormat="false" ht="26.25" hidden="false" customHeight="true" outlineLevel="0" collapsed="false">
      <c r="A225" s="4" t="s">
        <v>271</v>
      </c>
      <c r="B225" s="4" t="s">
        <v>253</v>
      </c>
      <c r="C225" s="5" t="n">
        <v>2</v>
      </c>
      <c r="D225" s="5"/>
      <c r="E225" s="4" t="s">
        <v>29</v>
      </c>
      <c r="F225" s="6" t="s">
        <v>253</v>
      </c>
      <c r="G225" s="5" t="n">
        <v>508</v>
      </c>
      <c r="H225" s="5" t="n">
        <v>36</v>
      </c>
      <c r="I225" s="5" t="n">
        <v>26</v>
      </c>
      <c r="J225" s="5" t="n">
        <v>28</v>
      </c>
      <c r="K225" s="5" t="n">
        <v>3</v>
      </c>
      <c r="L225" s="5" t="n">
        <v>7.1</v>
      </c>
      <c r="M225" s="5" t="n">
        <v>0</v>
      </c>
      <c r="N225" s="5" t="n">
        <v>5.1</v>
      </c>
      <c r="O225" s="5" t="n">
        <v>5.4</v>
      </c>
      <c r="P225" s="5" t="n">
        <v>0.65</v>
      </c>
      <c r="Q225" s="5" t="n">
        <v>0.29</v>
      </c>
      <c r="R225" s="5" t="n">
        <v>7.9</v>
      </c>
      <c r="S225" s="5" t="n">
        <v>0.4</v>
      </c>
      <c r="T225" s="5" t="n">
        <v>162</v>
      </c>
      <c r="U225" s="5" t="n">
        <v>0</v>
      </c>
      <c r="V225" s="5" t="n">
        <v>266</v>
      </c>
      <c r="W225" s="5" t="n">
        <v>9.2</v>
      </c>
      <c r="X225" s="5" t="n">
        <v>370</v>
      </c>
      <c r="Y225" s="5" t="n">
        <v>6.1</v>
      </c>
      <c r="Z225" s="5" t="n">
        <v>738</v>
      </c>
      <c r="AA225" s="7" t="n">
        <v>2.8</v>
      </c>
    </row>
    <row r="226" customFormat="false" ht="26.25" hidden="false" customHeight="true" outlineLevel="0" collapsed="false">
      <c r="A226" s="4" t="s">
        <v>272</v>
      </c>
      <c r="B226" s="4" t="s">
        <v>253</v>
      </c>
      <c r="C226" s="5" t="n">
        <v>0.3</v>
      </c>
      <c r="D226" s="5"/>
      <c r="E226" s="4" t="s">
        <v>29</v>
      </c>
      <c r="F226" s="6" t="s">
        <v>253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  <c r="U226" s="5" t="n">
        <v>0</v>
      </c>
      <c r="V226" s="5" t="n">
        <v>24</v>
      </c>
      <c r="W226" s="5" t="n">
        <v>1.3</v>
      </c>
      <c r="X226" s="5" t="n">
        <v>2</v>
      </c>
      <c r="Y226" s="5" t="n">
        <v>0</v>
      </c>
      <c r="Z226" s="5" t="n">
        <v>8</v>
      </c>
      <c r="AA226" s="7" t="n">
        <v>0</v>
      </c>
    </row>
    <row r="227" customFormat="false" ht="26.25" hidden="false" customHeight="true" outlineLevel="0" collapsed="false">
      <c r="A227" s="4" t="s">
        <v>273</v>
      </c>
      <c r="B227" s="4" t="s">
        <v>253</v>
      </c>
      <c r="C227" s="5" t="n">
        <v>0.2</v>
      </c>
      <c r="D227" s="5"/>
      <c r="E227" s="4" t="s">
        <v>29</v>
      </c>
      <c r="F227" s="6" t="s">
        <v>253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24</v>
      </c>
      <c r="W227" s="5" t="n">
        <v>0.3</v>
      </c>
      <c r="X227" s="5" t="n">
        <v>1</v>
      </c>
      <c r="Y227" s="5" t="n">
        <v>0</v>
      </c>
      <c r="Z227" s="5" t="n">
        <v>4</v>
      </c>
      <c r="AA227" s="7" t="n">
        <v>0</v>
      </c>
    </row>
    <row r="228" customFormat="false" ht="26.25" hidden="false" customHeight="true" outlineLevel="0" collapsed="false">
      <c r="A228" s="4" t="s">
        <v>274</v>
      </c>
      <c r="B228" s="4" t="s">
        <v>275</v>
      </c>
      <c r="C228" s="5" t="n">
        <v>1.2</v>
      </c>
      <c r="D228" s="5"/>
      <c r="E228" s="4" t="s">
        <v>29</v>
      </c>
      <c r="F228" s="6" t="s">
        <v>275</v>
      </c>
      <c r="G228" s="5" t="n">
        <v>110</v>
      </c>
      <c r="H228" s="5" t="n">
        <v>4</v>
      </c>
      <c r="I228" s="5" t="n">
        <v>6</v>
      </c>
      <c r="J228" s="5" t="n">
        <v>10</v>
      </c>
      <c r="K228" s="5" t="n">
        <v>3</v>
      </c>
      <c r="L228" s="5" t="n">
        <v>1</v>
      </c>
      <c r="M228" s="5" t="n">
        <v>0</v>
      </c>
      <c r="N228" s="5" t="n">
        <v>1</v>
      </c>
      <c r="O228" s="5" t="n">
        <v>5</v>
      </c>
      <c r="P228" s="5" t="n">
        <v>0.1</v>
      </c>
      <c r="Q228" s="5" t="n">
        <v>0.1</v>
      </c>
      <c r="R228" s="5" t="n">
        <v>0.5</v>
      </c>
      <c r="S228" s="5" t="n">
        <v>0.1</v>
      </c>
      <c r="T228" s="5" t="n">
        <v>15</v>
      </c>
      <c r="U228" s="5" t="n">
        <v>0</v>
      </c>
      <c r="V228" s="5" t="n">
        <v>60</v>
      </c>
      <c r="W228" s="5" t="n">
        <v>2</v>
      </c>
      <c r="X228" s="5" t="n">
        <v>50</v>
      </c>
      <c r="Y228" s="5" t="n">
        <v>1</v>
      </c>
      <c r="Z228" s="5" t="n">
        <v>150</v>
      </c>
      <c r="AA228" s="7" t="n">
        <v>1</v>
      </c>
    </row>
    <row r="229" customFormat="false" ht="26.25" hidden="false" customHeight="true" outlineLevel="0" collapsed="false">
      <c r="A229" s="4" t="s">
        <v>276</v>
      </c>
      <c r="B229" s="4" t="s">
        <v>275</v>
      </c>
      <c r="C229" s="5" t="n">
        <v>1</v>
      </c>
      <c r="D229" s="5"/>
      <c r="E229" s="4" t="s">
        <v>29</v>
      </c>
      <c r="F229" s="6" t="s">
        <v>275</v>
      </c>
      <c r="G229" s="5" t="n">
        <v>112</v>
      </c>
      <c r="H229" s="5" t="n">
        <v>0.2</v>
      </c>
      <c r="I229" s="5" t="n">
        <v>1.7</v>
      </c>
      <c r="J229" s="5" t="n">
        <v>26</v>
      </c>
      <c r="K229" s="5" t="n">
        <v>15</v>
      </c>
      <c r="L229" s="5" t="n">
        <v>7</v>
      </c>
      <c r="M229" s="5" t="n">
        <v>0</v>
      </c>
      <c r="N229" s="5" t="n">
        <v>0.5</v>
      </c>
      <c r="O229" s="5" t="n">
        <v>3</v>
      </c>
      <c r="P229" s="5" t="n">
        <v>0.03</v>
      </c>
      <c r="Q229" s="5" t="n">
        <v>0.03</v>
      </c>
      <c r="R229" s="5" t="n">
        <v>0.9</v>
      </c>
      <c r="S229" s="5" t="n">
        <v>0.08</v>
      </c>
      <c r="T229" s="5" t="n">
        <v>7</v>
      </c>
      <c r="U229" s="5" t="n">
        <v>0</v>
      </c>
      <c r="V229" s="5" t="n">
        <v>15</v>
      </c>
      <c r="W229" s="5" t="n">
        <v>0.5</v>
      </c>
      <c r="X229" s="5" t="n">
        <v>15</v>
      </c>
      <c r="Y229" s="5" t="n">
        <v>0.2</v>
      </c>
      <c r="Z229" s="5" t="n">
        <v>300</v>
      </c>
      <c r="AA229" s="7" t="n">
        <v>14.3</v>
      </c>
    </row>
    <row r="230" customFormat="false" ht="26.25" hidden="false" customHeight="true" outlineLevel="0" collapsed="false">
      <c r="A230" s="4" t="s">
        <v>277</v>
      </c>
      <c r="B230" s="4" t="s">
        <v>275</v>
      </c>
      <c r="C230" s="5" t="n">
        <v>3.5</v>
      </c>
      <c r="D230" s="5"/>
      <c r="E230" s="4" t="s">
        <v>29</v>
      </c>
      <c r="F230" s="6" t="s">
        <v>275</v>
      </c>
      <c r="G230" s="5" t="n">
        <v>680</v>
      </c>
      <c r="H230" s="5" t="n">
        <v>75</v>
      </c>
      <c r="I230" s="5" t="n">
        <v>1.1</v>
      </c>
      <c r="J230" s="5" t="n">
        <v>1</v>
      </c>
      <c r="K230" s="5" t="n">
        <v>40</v>
      </c>
      <c r="L230" s="5" t="n">
        <v>0</v>
      </c>
      <c r="M230" s="5" t="n">
        <v>0.3</v>
      </c>
      <c r="N230" s="5" t="n">
        <v>10</v>
      </c>
      <c r="O230" s="5" t="n">
        <v>60</v>
      </c>
      <c r="P230" s="5" t="n">
        <v>0.01</v>
      </c>
      <c r="Q230" s="5" t="n">
        <v>0.02</v>
      </c>
      <c r="R230" s="5" t="n">
        <v>0.1</v>
      </c>
      <c r="S230" s="5" t="n">
        <v>0.02</v>
      </c>
      <c r="T230" s="5" t="n">
        <v>5</v>
      </c>
      <c r="U230" s="5" t="n">
        <v>0.1</v>
      </c>
      <c r="V230" s="5" t="n">
        <v>10</v>
      </c>
      <c r="W230" s="5" t="n">
        <v>0.2</v>
      </c>
      <c r="X230" s="5" t="n">
        <v>3</v>
      </c>
      <c r="Y230" s="5" t="n">
        <v>0.1</v>
      </c>
      <c r="Z230" s="5" t="n">
        <v>30</v>
      </c>
      <c r="AA230" s="7" t="n">
        <v>0.1</v>
      </c>
    </row>
    <row r="231" customFormat="false" ht="26.25" hidden="false" customHeight="true" outlineLevel="0" collapsed="false">
      <c r="A231" s="4" t="s">
        <v>278</v>
      </c>
      <c r="B231" s="4" t="s">
        <v>275</v>
      </c>
      <c r="C231" s="5" t="n">
        <v>1.5</v>
      </c>
      <c r="D231" s="5"/>
      <c r="E231" s="4" t="s">
        <v>29</v>
      </c>
      <c r="F231" s="6" t="s">
        <v>275</v>
      </c>
      <c r="G231" s="5" t="n">
        <v>60</v>
      </c>
      <c r="H231" s="5" t="n">
        <v>0.1</v>
      </c>
      <c r="I231" s="5" t="n">
        <v>8.1</v>
      </c>
      <c r="J231" s="5" t="n">
        <v>6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0.02</v>
      </c>
      <c r="Q231" s="5" t="n">
        <v>0.15</v>
      </c>
      <c r="R231" s="5" t="n">
        <v>1.4</v>
      </c>
      <c r="S231" s="5" t="n">
        <v>0.17</v>
      </c>
      <c r="T231" s="5" t="n">
        <v>33</v>
      </c>
      <c r="U231" s="5" t="n">
        <v>0</v>
      </c>
      <c r="V231" s="5" t="n">
        <v>20</v>
      </c>
      <c r="W231" s="5" t="n">
        <v>2.4</v>
      </c>
      <c r="X231" s="5" t="n">
        <v>40</v>
      </c>
      <c r="Y231" s="5" t="n">
        <v>0.5</v>
      </c>
      <c r="Z231" s="5" t="n">
        <v>300</v>
      </c>
      <c r="AA231" s="7" t="n">
        <v>0.6</v>
      </c>
    </row>
    <row r="232" customFormat="false" ht="26.25" hidden="false" customHeight="true" outlineLevel="0" collapsed="false">
      <c r="A232" s="4" t="s">
        <v>279</v>
      </c>
      <c r="B232" s="4" t="s">
        <v>275</v>
      </c>
      <c r="C232" s="5" t="n">
        <v>2</v>
      </c>
      <c r="D232" s="5"/>
      <c r="E232" s="4" t="s">
        <v>29</v>
      </c>
      <c r="F232" s="6" t="s">
        <v>275</v>
      </c>
      <c r="G232" s="5" t="n">
        <v>78</v>
      </c>
      <c r="H232" s="5" t="n">
        <v>0</v>
      </c>
      <c r="I232" s="5" t="n">
        <v>0</v>
      </c>
      <c r="J232" s="5" t="n">
        <v>19.5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0.1</v>
      </c>
      <c r="S232" s="5" t="n">
        <v>0.05</v>
      </c>
      <c r="T232" s="5" t="n">
        <v>0</v>
      </c>
      <c r="U232" s="5" t="n">
        <v>0</v>
      </c>
      <c r="V232" s="5" t="n">
        <v>30</v>
      </c>
      <c r="W232" s="5" t="n">
        <v>2</v>
      </c>
      <c r="X232" s="5" t="n">
        <v>20</v>
      </c>
      <c r="Y232" s="5" t="n">
        <v>0.2</v>
      </c>
      <c r="Z232" s="5" t="n">
        <v>240</v>
      </c>
      <c r="AA232" s="7" t="n">
        <v>11.7</v>
      </c>
    </row>
    <row r="233" customFormat="false" ht="26.25" hidden="false" customHeight="true" outlineLevel="0" collapsed="false">
      <c r="A233" s="4" t="s">
        <v>280</v>
      </c>
      <c r="B233" s="4" t="s">
        <v>275</v>
      </c>
      <c r="C233" s="5" t="n">
        <v>1.5</v>
      </c>
      <c r="D233" s="5"/>
      <c r="E233" s="4" t="s">
        <v>29</v>
      </c>
      <c r="F233" s="6" t="s">
        <v>275</v>
      </c>
      <c r="G233" s="5" t="n">
        <v>88</v>
      </c>
      <c r="H233" s="5" t="n">
        <v>0</v>
      </c>
      <c r="I233" s="5" t="n">
        <v>0.5</v>
      </c>
      <c r="J233" s="5" t="n">
        <v>17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0.02</v>
      </c>
      <c r="R233" s="5" t="n">
        <v>0.1</v>
      </c>
      <c r="S233" s="5" t="n">
        <v>0.1</v>
      </c>
      <c r="T233" s="5" t="n">
        <v>0</v>
      </c>
      <c r="U233" s="5" t="n">
        <v>0</v>
      </c>
      <c r="V233" s="5" t="n">
        <v>27</v>
      </c>
      <c r="W233" s="5" t="n">
        <v>0.7</v>
      </c>
      <c r="X233" s="5" t="n">
        <v>12</v>
      </c>
      <c r="Y233" s="5" t="n">
        <v>0.1</v>
      </c>
      <c r="Z233" s="5" t="n">
        <v>112</v>
      </c>
      <c r="AA233" s="7" t="n">
        <v>0.9</v>
      </c>
    </row>
    <row r="234" customFormat="false" ht="26.25" hidden="false" customHeight="true" outlineLevel="0" collapsed="false">
      <c r="A234" s="4" t="s">
        <v>281</v>
      </c>
      <c r="B234" s="4" t="s">
        <v>275</v>
      </c>
      <c r="C234" s="5" t="n">
        <v>0.8</v>
      </c>
      <c r="D234" s="5"/>
      <c r="E234" s="4" t="s">
        <v>29</v>
      </c>
      <c r="F234" s="6" t="s">
        <v>275</v>
      </c>
      <c r="G234" s="5" t="n">
        <v>19</v>
      </c>
      <c r="H234" s="5" t="n">
        <v>0</v>
      </c>
      <c r="I234" s="5" t="n">
        <v>0</v>
      </c>
      <c r="J234" s="5" t="n">
        <v>0.3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8</v>
      </c>
      <c r="W234" s="5" t="n">
        <v>0.5</v>
      </c>
      <c r="X234" s="5" t="n">
        <v>7</v>
      </c>
      <c r="Y234" s="5" t="n">
        <v>0.1</v>
      </c>
      <c r="Z234" s="5" t="n">
        <v>40</v>
      </c>
      <c r="AA234" s="7" t="n">
        <v>0</v>
      </c>
    </row>
    <row r="235" customFormat="false" ht="26.25" hidden="false" customHeight="true" outlineLevel="0" collapsed="false">
      <c r="A235" s="4" t="s">
        <v>282</v>
      </c>
      <c r="B235" s="4" t="s">
        <v>275</v>
      </c>
      <c r="C235" s="5" t="n">
        <v>0.6</v>
      </c>
      <c r="D235" s="5"/>
      <c r="E235" s="4" t="s">
        <v>29</v>
      </c>
      <c r="F235" s="6" t="s">
        <v>275</v>
      </c>
      <c r="G235" s="5" t="n">
        <v>22</v>
      </c>
      <c r="H235" s="5" t="n">
        <v>0</v>
      </c>
      <c r="I235" s="5" t="n">
        <v>0</v>
      </c>
      <c r="J235" s="5" t="n">
        <v>0.9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7</v>
      </c>
      <c r="W235" s="5" t="n">
        <v>0.2</v>
      </c>
      <c r="X235" s="5" t="n">
        <v>5</v>
      </c>
      <c r="Y235" s="5" t="n">
        <v>0.1</v>
      </c>
      <c r="Z235" s="5" t="n">
        <v>73</v>
      </c>
      <c r="AA235" s="7" t="n">
        <v>0</v>
      </c>
    </row>
    <row r="236" customFormat="false" ht="26.25" hidden="false" customHeight="true" outlineLevel="0" collapsed="false">
      <c r="A236" s="4" t="s">
        <v>283</v>
      </c>
      <c r="B236" s="4" t="s">
        <v>275</v>
      </c>
      <c r="C236" s="5" t="n">
        <v>3</v>
      </c>
      <c r="D236" s="5"/>
      <c r="E236" s="4" t="s">
        <v>29</v>
      </c>
      <c r="F236" s="6" t="s">
        <v>275</v>
      </c>
      <c r="G236" s="5" t="n">
        <v>460</v>
      </c>
      <c r="H236" s="5" t="n">
        <v>45</v>
      </c>
      <c r="I236" s="5" t="n">
        <v>4</v>
      </c>
      <c r="J236" s="5" t="n">
        <v>6</v>
      </c>
      <c r="K236" s="5" t="n">
        <v>300</v>
      </c>
      <c r="L236" s="5" t="n">
        <v>4</v>
      </c>
      <c r="M236" s="5" t="n">
        <v>0</v>
      </c>
      <c r="N236" s="5" t="n">
        <v>3</v>
      </c>
      <c r="O236" s="5" t="n">
        <v>80</v>
      </c>
      <c r="P236" s="5" t="n">
        <v>0.05</v>
      </c>
      <c r="Q236" s="5" t="n">
        <v>0.1</v>
      </c>
      <c r="R236" s="5" t="n">
        <v>1</v>
      </c>
      <c r="S236" s="5" t="n">
        <v>0.1</v>
      </c>
      <c r="T236" s="5" t="n">
        <v>30</v>
      </c>
      <c r="U236" s="5" t="n">
        <v>0.1</v>
      </c>
      <c r="V236" s="5" t="n">
        <v>200</v>
      </c>
      <c r="W236" s="5" t="n">
        <v>1.5</v>
      </c>
      <c r="X236" s="5" t="n">
        <v>40</v>
      </c>
      <c r="Y236" s="5" t="n">
        <v>0.8</v>
      </c>
      <c r="Z236" s="5" t="n">
        <v>200</v>
      </c>
      <c r="AA236" s="7" t="n">
        <v>0.9</v>
      </c>
    </row>
    <row r="237" customFormat="false" ht="26.25" hidden="false" customHeight="true" outlineLevel="0" collapsed="false">
      <c r="A237" s="4" t="s">
        <v>284</v>
      </c>
      <c r="B237" s="4" t="s">
        <v>275</v>
      </c>
      <c r="C237" s="5" t="n">
        <v>2.5</v>
      </c>
      <c r="D237" s="5"/>
      <c r="E237" s="4" t="s">
        <v>29</v>
      </c>
      <c r="F237" s="6" t="s">
        <v>275</v>
      </c>
      <c r="G237" s="5" t="n">
        <v>595</v>
      </c>
      <c r="H237" s="5" t="n">
        <v>54</v>
      </c>
      <c r="I237" s="5" t="n">
        <v>17</v>
      </c>
      <c r="J237" s="5" t="n">
        <v>21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0.95</v>
      </c>
      <c r="Q237" s="5" t="n">
        <v>0.47</v>
      </c>
      <c r="R237" s="5" t="n">
        <v>4.5</v>
      </c>
      <c r="S237" s="5" t="n">
        <v>0.15</v>
      </c>
      <c r="T237" s="5" t="n">
        <v>98</v>
      </c>
      <c r="U237" s="5" t="n">
        <v>0</v>
      </c>
      <c r="V237" s="5" t="n">
        <v>426</v>
      </c>
      <c r="W237" s="5" t="n">
        <v>8.9</v>
      </c>
      <c r="X237" s="5" t="n">
        <v>95</v>
      </c>
      <c r="Y237" s="5" t="n">
        <v>4.6</v>
      </c>
      <c r="Z237" s="5" t="n">
        <v>414</v>
      </c>
      <c r="AA237" s="7" t="n">
        <v>1.1</v>
      </c>
    </row>
    <row r="238" customFormat="false" ht="26.25" hidden="false" customHeight="true" outlineLevel="0" collapsed="false">
      <c r="A238" s="4" t="s">
        <v>285</v>
      </c>
      <c r="B238" s="4" t="s">
        <v>275</v>
      </c>
      <c r="C238" s="5" t="n">
        <v>1.5</v>
      </c>
      <c r="D238" s="5"/>
      <c r="E238" s="4" t="s">
        <v>29</v>
      </c>
      <c r="F238" s="6" t="s">
        <v>275</v>
      </c>
      <c r="G238" s="5" t="n">
        <v>166</v>
      </c>
      <c r="H238" s="5" t="n">
        <v>9.6</v>
      </c>
      <c r="I238" s="5" t="n">
        <v>7.9</v>
      </c>
      <c r="J238" s="5" t="n">
        <v>14</v>
      </c>
      <c r="K238" s="5" t="n">
        <v>1</v>
      </c>
      <c r="L238" s="5" t="n">
        <v>1.5</v>
      </c>
      <c r="M238" s="5" t="n">
        <v>0</v>
      </c>
      <c r="N238" s="5" t="n">
        <v>0.5</v>
      </c>
      <c r="O238" s="5" t="n">
        <v>4</v>
      </c>
      <c r="P238" s="5" t="n">
        <v>0.1</v>
      </c>
      <c r="Q238" s="5" t="n">
        <v>0.06</v>
      </c>
      <c r="R238" s="5" t="n">
        <v>0.5</v>
      </c>
      <c r="S238" s="5" t="n">
        <v>0.14</v>
      </c>
      <c r="T238" s="5" t="n">
        <v>58</v>
      </c>
      <c r="U238" s="5" t="n">
        <v>0</v>
      </c>
      <c r="V238" s="5" t="n">
        <v>39</v>
      </c>
      <c r="W238" s="5" t="n">
        <v>1.6</v>
      </c>
      <c r="X238" s="5" t="n">
        <v>38</v>
      </c>
      <c r="Y238" s="5" t="n">
        <v>1.2</v>
      </c>
      <c r="Z238" s="5" t="n">
        <v>173</v>
      </c>
      <c r="AA238" s="7" t="n">
        <v>1.4</v>
      </c>
    </row>
    <row r="239" customFormat="false" ht="26.25" hidden="false" customHeight="true" outlineLevel="0" collapsed="false">
      <c r="A239" s="4" t="s">
        <v>286</v>
      </c>
      <c r="B239" s="4" t="s">
        <v>275</v>
      </c>
      <c r="C239" s="5" t="n">
        <v>1</v>
      </c>
      <c r="D239" s="5"/>
      <c r="E239" s="4" t="s">
        <v>29</v>
      </c>
      <c r="F239" s="6" t="s">
        <v>275</v>
      </c>
      <c r="G239" s="5" t="n">
        <v>150</v>
      </c>
      <c r="H239" s="5" t="n">
        <v>13</v>
      </c>
      <c r="I239" s="5" t="n">
        <v>2</v>
      </c>
      <c r="J239" s="5" t="n">
        <v>8.5</v>
      </c>
      <c r="K239" s="5" t="n">
        <v>30</v>
      </c>
      <c r="L239" s="5" t="n">
        <v>10</v>
      </c>
      <c r="M239" s="5" t="n">
        <v>0</v>
      </c>
      <c r="N239" s="5" t="n">
        <v>2</v>
      </c>
      <c r="O239" s="5" t="n">
        <v>20</v>
      </c>
      <c r="P239" s="5" t="n">
        <v>0.06</v>
      </c>
      <c r="Q239" s="5" t="n">
        <v>0.1</v>
      </c>
      <c r="R239" s="5" t="n">
        <v>1.5</v>
      </c>
      <c r="S239" s="5" t="n">
        <v>0.2</v>
      </c>
      <c r="T239" s="5" t="n">
        <v>60</v>
      </c>
      <c r="U239" s="5" t="n">
        <v>0</v>
      </c>
      <c r="V239" s="5" t="n">
        <v>12</v>
      </c>
      <c r="W239" s="5" t="n">
        <v>0.5</v>
      </c>
      <c r="X239" s="5" t="n">
        <v>25</v>
      </c>
      <c r="Y239" s="5" t="n">
        <v>0.5</v>
      </c>
      <c r="Z239" s="5" t="n">
        <v>400</v>
      </c>
      <c r="AA239" s="7" t="n">
        <v>1.3</v>
      </c>
    </row>
    <row r="240" customFormat="false" ht="26.25" hidden="false" customHeight="true" outlineLevel="0" collapsed="false">
      <c r="A240" s="4" t="s">
        <v>287</v>
      </c>
      <c r="B240" s="4" t="s">
        <v>275</v>
      </c>
      <c r="C240" s="5" t="n">
        <v>0.9</v>
      </c>
      <c r="D240" s="5"/>
      <c r="E240" s="4" t="s">
        <v>29</v>
      </c>
      <c r="F240" s="6" t="s">
        <v>275</v>
      </c>
      <c r="G240" s="5" t="n">
        <v>36</v>
      </c>
      <c r="H240" s="5" t="n">
        <v>0.2</v>
      </c>
      <c r="I240" s="5" t="n">
        <v>1.5</v>
      </c>
      <c r="J240" s="5" t="n">
        <v>8</v>
      </c>
      <c r="K240" s="5" t="n">
        <v>40</v>
      </c>
      <c r="L240" s="5" t="n">
        <v>15</v>
      </c>
      <c r="M240" s="5" t="n">
        <v>0</v>
      </c>
      <c r="N240" s="5" t="n">
        <v>0.5</v>
      </c>
      <c r="O240" s="5" t="n">
        <v>10</v>
      </c>
      <c r="P240" s="5" t="n">
        <v>0.04</v>
      </c>
      <c r="Q240" s="5" t="n">
        <v>0.03</v>
      </c>
      <c r="R240" s="5" t="n">
        <v>0.6</v>
      </c>
      <c r="S240" s="5" t="n">
        <v>0.1</v>
      </c>
      <c r="T240" s="5" t="n">
        <v>15</v>
      </c>
      <c r="U240" s="5" t="n">
        <v>0</v>
      </c>
      <c r="V240" s="5" t="n">
        <v>12</v>
      </c>
      <c r="W240" s="5" t="n">
        <v>0.4</v>
      </c>
      <c r="X240" s="5" t="n">
        <v>12</v>
      </c>
      <c r="Y240" s="5" t="n">
        <v>0.2</v>
      </c>
      <c r="Z240" s="5" t="n">
        <v>260</v>
      </c>
      <c r="AA240" s="7" t="n">
        <v>2.4</v>
      </c>
    </row>
    <row r="241" customFormat="false" ht="26.25" hidden="false" customHeight="true" outlineLevel="0" collapsed="false">
      <c r="A241" s="4" t="s">
        <v>288</v>
      </c>
      <c r="B241" s="4" t="s">
        <v>275</v>
      </c>
      <c r="C241" s="5" t="n">
        <v>1.5</v>
      </c>
      <c r="D241" s="5"/>
      <c r="E241" s="4" t="s">
        <v>29</v>
      </c>
      <c r="F241" s="6" t="s">
        <v>275</v>
      </c>
      <c r="G241" s="5" t="n">
        <v>30</v>
      </c>
      <c r="H241" s="5" t="n">
        <v>0.3</v>
      </c>
      <c r="I241" s="5" t="n">
        <v>1.2</v>
      </c>
      <c r="J241" s="5" t="n">
        <v>6</v>
      </c>
      <c r="K241" s="5" t="n">
        <v>100</v>
      </c>
      <c r="L241" s="5" t="n">
        <v>50</v>
      </c>
      <c r="M241" s="5" t="n">
        <v>0</v>
      </c>
      <c r="N241" s="5" t="n">
        <v>0.5</v>
      </c>
      <c r="O241" s="5" t="n">
        <v>5</v>
      </c>
      <c r="P241" s="5" t="n">
        <v>0.03</v>
      </c>
      <c r="Q241" s="5" t="n">
        <v>0.03</v>
      </c>
      <c r="R241" s="5" t="n">
        <v>0.5</v>
      </c>
      <c r="S241" s="5" t="n">
        <v>0.15</v>
      </c>
      <c r="T241" s="5" t="n">
        <v>10</v>
      </c>
      <c r="U241" s="5" t="n">
        <v>0</v>
      </c>
      <c r="V241" s="5" t="n">
        <v>15</v>
      </c>
      <c r="W241" s="5" t="n">
        <v>0.4</v>
      </c>
      <c r="X241" s="5" t="n">
        <v>15</v>
      </c>
      <c r="Y241" s="5" t="n">
        <v>0.2</v>
      </c>
      <c r="Z241" s="5" t="n">
        <v>220</v>
      </c>
      <c r="AA241" s="7" t="n">
        <v>1.2</v>
      </c>
    </row>
    <row r="242" customFormat="false" ht="26.25" hidden="false" customHeight="true" outlineLevel="0" collapsed="false">
      <c r="A242" s="4" t="s">
        <v>289</v>
      </c>
      <c r="B242" s="4" t="s">
        <v>275</v>
      </c>
      <c r="C242" s="5" t="n">
        <v>3</v>
      </c>
      <c r="D242" s="5"/>
      <c r="E242" s="4" t="s">
        <v>29</v>
      </c>
      <c r="F242" s="6" t="s">
        <v>275</v>
      </c>
      <c r="G242" s="5" t="n">
        <v>35</v>
      </c>
      <c r="H242" s="5" t="n">
        <v>0</v>
      </c>
      <c r="I242" s="5" t="n">
        <v>5</v>
      </c>
      <c r="J242" s="5" t="n">
        <v>3.5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0.05</v>
      </c>
      <c r="R242" s="5" t="n">
        <v>3</v>
      </c>
      <c r="S242" s="5" t="n">
        <v>0.1</v>
      </c>
      <c r="T242" s="5" t="n">
        <v>0</v>
      </c>
      <c r="U242" s="5" t="n">
        <v>0.5</v>
      </c>
      <c r="V242" s="5" t="n">
        <v>43</v>
      </c>
      <c r="W242" s="5" t="n">
        <v>1.2</v>
      </c>
      <c r="X242" s="5" t="n">
        <v>50</v>
      </c>
      <c r="Y242" s="5" t="n">
        <v>0.2</v>
      </c>
      <c r="Z242" s="5" t="n">
        <v>300</v>
      </c>
      <c r="AA242" s="7" t="n">
        <v>0</v>
      </c>
    </row>
    <row r="243" customFormat="false" ht="26.25" hidden="false" customHeight="true" outlineLevel="0" collapsed="false">
      <c r="A243" s="4" t="s">
        <v>290</v>
      </c>
      <c r="B243" s="4" t="s">
        <v>275</v>
      </c>
      <c r="C243" s="5" t="n">
        <v>1.5</v>
      </c>
      <c r="D243" s="5"/>
      <c r="E243" s="4" t="s">
        <v>29</v>
      </c>
      <c r="F243" s="6" t="s">
        <v>275</v>
      </c>
      <c r="G243" s="5" t="n">
        <v>93</v>
      </c>
      <c r="H243" s="5" t="n">
        <v>0.9</v>
      </c>
      <c r="I243" s="5" t="n">
        <v>2</v>
      </c>
      <c r="J243" s="5" t="n">
        <v>19</v>
      </c>
      <c r="K243" s="5" t="n">
        <v>200</v>
      </c>
      <c r="L243" s="5" t="n">
        <v>20</v>
      </c>
      <c r="M243" s="5" t="n">
        <v>0</v>
      </c>
      <c r="N243" s="5" t="n">
        <v>0.5</v>
      </c>
      <c r="O243" s="5" t="n">
        <v>10</v>
      </c>
      <c r="P243" s="5" t="n">
        <v>0.03</v>
      </c>
      <c r="Q243" s="5" t="n">
        <v>0.05</v>
      </c>
      <c r="R243" s="5" t="n">
        <v>0.8</v>
      </c>
      <c r="S243" s="5" t="n">
        <v>0.2</v>
      </c>
      <c r="T243" s="5" t="n">
        <v>10</v>
      </c>
      <c r="U243" s="5" t="n">
        <v>0</v>
      </c>
      <c r="V243" s="5" t="n">
        <v>15</v>
      </c>
      <c r="W243" s="5" t="n">
        <v>0.5</v>
      </c>
      <c r="X243" s="5" t="n">
        <v>15</v>
      </c>
      <c r="Y243" s="5" t="n">
        <v>0.2</v>
      </c>
      <c r="Z243" s="5" t="n">
        <v>220</v>
      </c>
      <c r="AA243" s="7" t="n">
        <v>5.7</v>
      </c>
    </row>
    <row r="244" customFormat="false" ht="26.25" hidden="false" customHeight="true" outlineLevel="0" collapsed="false">
      <c r="A244" s="4" t="s">
        <v>291</v>
      </c>
      <c r="B244" s="4" t="s">
        <v>275</v>
      </c>
      <c r="C244" s="5" t="n">
        <v>1.2</v>
      </c>
      <c r="D244" s="5"/>
      <c r="E244" s="4" t="s">
        <v>29</v>
      </c>
      <c r="F244" s="6" t="s">
        <v>275</v>
      </c>
      <c r="G244" s="5" t="n">
        <v>172</v>
      </c>
      <c r="H244" s="5" t="n">
        <v>0.5</v>
      </c>
      <c r="I244" s="5" t="n">
        <v>1</v>
      </c>
      <c r="J244" s="5" t="n">
        <v>40</v>
      </c>
      <c r="K244" s="5" t="n">
        <v>20</v>
      </c>
      <c r="L244" s="5" t="n">
        <v>5</v>
      </c>
      <c r="M244" s="5" t="n">
        <v>0</v>
      </c>
      <c r="N244" s="5" t="n">
        <v>0.5</v>
      </c>
      <c r="O244" s="5" t="n">
        <v>5</v>
      </c>
      <c r="P244" s="5" t="n">
        <v>0.03</v>
      </c>
      <c r="Q244" s="5" t="n">
        <v>0.05</v>
      </c>
      <c r="R244" s="5" t="n">
        <v>0.8</v>
      </c>
      <c r="S244" s="5" t="n">
        <v>0.1</v>
      </c>
      <c r="T244" s="5" t="n">
        <v>8</v>
      </c>
      <c r="U244" s="5" t="n">
        <v>0</v>
      </c>
      <c r="V244" s="5" t="n">
        <v>20</v>
      </c>
      <c r="W244" s="5" t="n">
        <v>0.6</v>
      </c>
      <c r="X244" s="5" t="n">
        <v>15</v>
      </c>
      <c r="Y244" s="5" t="n">
        <v>0.2</v>
      </c>
      <c r="Z244" s="5" t="n">
        <v>200</v>
      </c>
      <c r="AA244" s="7" t="n">
        <v>22</v>
      </c>
    </row>
    <row r="245" customFormat="false" ht="26.25" hidden="false" customHeight="true" outlineLevel="0" collapsed="false">
      <c r="A245" s="4" t="s">
        <v>292</v>
      </c>
      <c r="B245" s="4" t="s">
        <v>275</v>
      </c>
      <c r="C245" s="5" t="n">
        <v>1.5</v>
      </c>
      <c r="D245" s="5"/>
      <c r="E245" s="4" t="s">
        <v>29</v>
      </c>
      <c r="F245" s="6" t="s">
        <v>275</v>
      </c>
      <c r="G245" s="5" t="n">
        <v>90</v>
      </c>
      <c r="H245" s="5" t="n">
        <v>7</v>
      </c>
      <c r="I245" s="5" t="n">
        <v>3.5</v>
      </c>
      <c r="J245" s="5" t="n">
        <v>3</v>
      </c>
      <c r="K245" s="5" t="n">
        <v>20</v>
      </c>
      <c r="L245" s="5" t="n">
        <v>3</v>
      </c>
      <c r="M245" s="5" t="n">
        <v>0</v>
      </c>
      <c r="N245" s="5" t="n">
        <v>0.2</v>
      </c>
      <c r="O245" s="5" t="n">
        <v>3</v>
      </c>
      <c r="P245" s="5" t="n">
        <v>0.02</v>
      </c>
      <c r="Q245" s="5" t="n">
        <v>0.1</v>
      </c>
      <c r="R245" s="5" t="n">
        <v>0.2</v>
      </c>
      <c r="S245" s="5" t="n">
        <v>0.05</v>
      </c>
      <c r="T245" s="5" t="n">
        <v>8</v>
      </c>
      <c r="U245" s="5" t="n">
        <v>0.2</v>
      </c>
      <c r="V245" s="5" t="n">
        <v>80</v>
      </c>
      <c r="W245" s="5" t="n">
        <v>0.2</v>
      </c>
      <c r="X245" s="5" t="n">
        <v>10</v>
      </c>
      <c r="Y245" s="5" t="n">
        <v>0.4</v>
      </c>
      <c r="Z245" s="5" t="n">
        <v>110</v>
      </c>
      <c r="AA245" s="7" t="n">
        <v>0.4</v>
      </c>
    </row>
    <row r="246" customFormat="false" ht="26.25" hidden="false" customHeight="true" outlineLevel="0" collapsed="false">
      <c r="A246" s="4" t="s">
        <v>293</v>
      </c>
      <c r="B246" s="4" t="s">
        <v>275</v>
      </c>
      <c r="C246" s="5" t="n">
        <v>1.5</v>
      </c>
      <c r="D246" s="5"/>
      <c r="E246" s="4" t="s">
        <v>29</v>
      </c>
      <c r="F246" s="6" t="s">
        <v>275</v>
      </c>
      <c r="G246" s="5" t="n">
        <v>145</v>
      </c>
      <c r="H246" s="5" t="n">
        <v>15</v>
      </c>
      <c r="I246" s="5" t="n">
        <v>1</v>
      </c>
      <c r="J246" s="5" t="n">
        <v>3.8</v>
      </c>
      <c r="K246" s="5" t="n">
        <v>30</v>
      </c>
      <c r="L246" s="5" t="n">
        <v>0</v>
      </c>
      <c r="M246" s="5" t="n">
        <v>0</v>
      </c>
      <c r="N246" s="5" t="n">
        <v>1.7</v>
      </c>
      <c r="O246" s="5" t="n">
        <v>20</v>
      </c>
      <c r="P246" s="5" t="n">
        <v>0.02</v>
      </c>
      <c r="Q246" s="5" t="n">
        <v>0.02</v>
      </c>
      <c r="R246" s="5" t="n">
        <v>0.1</v>
      </c>
      <c r="S246" s="5" t="n">
        <v>0.02</v>
      </c>
      <c r="T246" s="5" t="n">
        <v>0</v>
      </c>
      <c r="U246" s="5" t="n">
        <v>0</v>
      </c>
      <c r="V246" s="5" t="n">
        <v>52</v>
      </c>
      <c r="W246" s="5" t="n">
        <v>0.5</v>
      </c>
      <c r="X246" s="5" t="n">
        <v>4</v>
      </c>
      <c r="Y246" s="5" t="n">
        <v>0.2</v>
      </c>
      <c r="Z246" s="5" t="n">
        <v>42</v>
      </c>
      <c r="AA246" s="7" t="n">
        <v>0.1</v>
      </c>
    </row>
    <row r="247" customFormat="false" ht="26.25" hidden="false" customHeight="true" outlineLevel="0" collapsed="false">
      <c r="A247" s="4" t="s">
        <v>294</v>
      </c>
      <c r="B247" s="4" t="s">
        <v>275</v>
      </c>
      <c r="C247" s="5" t="n">
        <v>1.5</v>
      </c>
      <c r="D247" s="5"/>
      <c r="E247" s="4" t="s">
        <v>29</v>
      </c>
      <c r="F247" s="6" t="s">
        <v>275</v>
      </c>
      <c r="G247" s="5" t="n">
        <v>115</v>
      </c>
      <c r="H247" s="5" t="n">
        <v>11</v>
      </c>
      <c r="I247" s="5" t="n">
        <v>0.8</v>
      </c>
      <c r="J247" s="5" t="n">
        <v>6.3</v>
      </c>
      <c r="K247" s="5" t="n">
        <v>20</v>
      </c>
      <c r="L247" s="5" t="n">
        <v>0</v>
      </c>
      <c r="M247" s="5" t="n">
        <v>0</v>
      </c>
      <c r="N247" s="5" t="n">
        <v>1.7</v>
      </c>
      <c r="O247" s="5" t="n">
        <v>2</v>
      </c>
      <c r="P247" s="5" t="n">
        <v>0.02</v>
      </c>
      <c r="Q247" s="5" t="n">
        <v>0.02</v>
      </c>
      <c r="R247" s="5" t="n">
        <v>0.1</v>
      </c>
      <c r="S247" s="5" t="n">
        <v>0.02</v>
      </c>
      <c r="T247" s="5" t="n">
        <v>0</v>
      </c>
      <c r="U247" s="5" t="n">
        <v>0</v>
      </c>
      <c r="V247" s="5" t="n">
        <v>88</v>
      </c>
      <c r="W247" s="5" t="n">
        <v>3.3</v>
      </c>
      <c r="X247" s="5" t="n">
        <v>4</v>
      </c>
      <c r="Y247" s="5" t="n">
        <v>0.2</v>
      </c>
      <c r="Z247" s="5" t="n">
        <v>8</v>
      </c>
      <c r="AA247" s="7" t="n">
        <v>0.1</v>
      </c>
    </row>
    <row r="248" customFormat="false" ht="26.25" hidden="false" customHeight="true" outlineLevel="0" collapsed="false">
      <c r="A248" s="4" t="s">
        <v>295</v>
      </c>
      <c r="B248" s="4" t="s">
        <v>275</v>
      </c>
      <c r="C248" s="5" t="n">
        <v>1.2</v>
      </c>
      <c r="D248" s="5"/>
      <c r="E248" s="4" t="s">
        <v>29</v>
      </c>
      <c r="F248" s="6" t="s">
        <v>275</v>
      </c>
      <c r="G248" s="5" t="n">
        <v>23</v>
      </c>
      <c r="H248" s="5" t="n">
        <v>0.9</v>
      </c>
      <c r="I248" s="5" t="n">
        <v>2.4</v>
      </c>
      <c r="J248" s="5" t="n">
        <v>4.9</v>
      </c>
      <c r="K248" s="5" t="n">
        <v>22</v>
      </c>
      <c r="L248" s="5" t="n">
        <v>4</v>
      </c>
      <c r="M248" s="5" t="n">
        <v>0</v>
      </c>
      <c r="N248" s="5" t="n">
        <v>0</v>
      </c>
      <c r="O248" s="5" t="n">
        <v>0</v>
      </c>
      <c r="P248" s="5" t="n">
        <v>0.02</v>
      </c>
      <c r="Q248" s="5" t="n">
        <v>0.1</v>
      </c>
      <c r="R248" s="5" t="n">
        <v>0.3</v>
      </c>
      <c r="S248" s="5" t="n">
        <v>0.02</v>
      </c>
      <c r="T248" s="5" t="n">
        <v>23</v>
      </c>
      <c r="U248" s="5" t="n">
        <v>0</v>
      </c>
      <c r="V248" s="5" t="n">
        <v>40</v>
      </c>
      <c r="W248" s="5" t="n">
        <v>1.7</v>
      </c>
      <c r="X248" s="5" t="n">
        <v>33</v>
      </c>
      <c r="Y248" s="5" t="n">
        <v>0.3</v>
      </c>
      <c r="Z248" s="5" t="n">
        <v>40</v>
      </c>
      <c r="AA248" s="7" t="n">
        <v>0.2</v>
      </c>
    </row>
    <row r="249" customFormat="false" ht="26.25" hidden="false" customHeight="true" outlineLevel="0" collapsed="false">
      <c r="A249" s="4" t="s">
        <v>296</v>
      </c>
      <c r="B249" s="4" t="s">
        <v>297</v>
      </c>
      <c r="C249" s="5" t="n">
        <v>0.3</v>
      </c>
      <c r="D249" s="5"/>
      <c r="E249" s="4" t="s">
        <v>29</v>
      </c>
      <c r="F249" s="6" t="s">
        <v>297</v>
      </c>
      <c r="G249" s="5" t="n">
        <v>13</v>
      </c>
      <c r="H249" s="5" t="n">
        <v>0.2</v>
      </c>
      <c r="I249" s="5" t="n">
        <v>1.5</v>
      </c>
      <c r="J249" s="5" t="n">
        <v>2.2</v>
      </c>
      <c r="K249" s="5" t="n">
        <v>223</v>
      </c>
      <c r="L249" s="5" t="n">
        <v>45</v>
      </c>
      <c r="M249" s="5" t="n">
        <v>0</v>
      </c>
      <c r="N249" s="5" t="n">
        <v>0.1</v>
      </c>
      <c r="O249" s="5" t="n">
        <v>46</v>
      </c>
      <c r="P249" s="5" t="n">
        <v>0.04</v>
      </c>
      <c r="Q249" s="5" t="n">
        <v>0.07</v>
      </c>
      <c r="R249" s="5" t="n">
        <v>0.5</v>
      </c>
      <c r="S249" s="5" t="n">
        <v>0.19</v>
      </c>
      <c r="T249" s="5" t="n">
        <v>66</v>
      </c>
      <c r="U249" s="5" t="n">
        <v>0</v>
      </c>
      <c r="V249" s="5" t="n">
        <v>105</v>
      </c>
      <c r="W249" s="5" t="n">
        <v>0.8</v>
      </c>
      <c r="X249" s="5" t="n">
        <v>19</v>
      </c>
      <c r="Y249" s="5" t="n">
        <v>0.2</v>
      </c>
      <c r="Z249" s="5" t="n">
        <v>252</v>
      </c>
      <c r="AA249" s="7" t="n">
        <v>0.7</v>
      </c>
    </row>
    <row r="250" customFormat="false" ht="26.25" hidden="false" customHeight="true" outlineLevel="0" collapsed="false">
      <c r="A250" s="4" t="s">
        <v>298</v>
      </c>
      <c r="B250" s="4" t="s">
        <v>297</v>
      </c>
      <c r="C250" s="5" t="n">
        <v>0.2</v>
      </c>
      <c r="D250" s="5"/>
      <c r="E250" s="4" t="s">
        <v>29</v>
      </c>
      <c r="F250" s="6" t="s">
        <v>297</v>
      </c>
      <c r="G250" s="5" t="n">
        <v>16</v>
      </c>
      <c r="H250" s="5" t="n">
        <v>0.2</v>
      </c>
      <c r="I250" s="5" t="n">
        <v>1.2</v>
      </c>
      <c r="J250" s="5" t="n">
        <v>3.2</v>
      </c>
      <c r="K250" s="5" t="n">
        <v>45</v>
      </c>
      <c r="L250" s="5" t="n">
        <v>27</v>
      </c>
      <c r="M250" s="5" t="n">
        <v>0</v>
      </c>
      <c r="N250" s="5" t="n">
        <v>0.1</v>
      </c>
      <c r="O250" s="5" t="n">
        <v>42</v>
      </c>
      <c r="P250" s="5" t="n">
        <v>0.04</v>
      </c>
      <c r="Q250" s="5" t="n">
        <v>0.05</v>
      </c>
      <c r="R250" s="5" t="n">
        <v>0.4</v>
      </c>
      <c r="S250" s="5" t="n">
        <v>0.23</v>
      </c>
      <c r="T250" s="5" t="n">
        <v>79</v>
      </c>
      <c r="U250" s="5" t="n">
        <v>0</v>
      </c>
      <c r="V250" s="5" t="n">
        <v>77</v>
      </c>
      <c r="W250" s="5" t="n">
        <v>0.8</v>
      </c>
      <c r="X250" s="5" t="n">
        <v>13</v>
      </c>
      <c r="Y250" s="5" t="n">
        <v>0.2</v>
      </c>
      <c r="Z250" s="5" t="n">
        <v>238</v>
      </c>
      <c r="AA250" s="7" t="n">
        <v>1.3</v>
      </c>
    </row>
    <row r="251" customFormat="false" ht="26.25" hidden="false" customHeight="true" outlineLevel="0" collapsed="false">
      <c r="A251" s="4" t="s">
        <v>299</v>
      </c>
      <c r="B251" s="4" t="s">
        <v>297</v>
      </c>
      <c r="C251" s="5" t="n">
        <v>0.3</v>
      </c>
      <c r="D251" s="5"/>
      <c r="E251" s="4" t="s">
        <v>29</v>
      </c>
      <c r="F251" s="6" t="s">
        <v>297</v>
      </c>
      <c r="G251" s="5" t="n">
        <v>19</v>
      </c>
      <c r="H251" s="5" t="n">
        <v>0.2</v>
      </c>
      <c r="I251" s="5" t="n">
        <v>1.8</v>
      </c>
      <c r="J251" s="5" t="n">
        <v>3.7</v>
      </c>
      <c r="K251" s="5" t="n">
        <v>306</v>
      </c>
      <c r="L251" s="5" t="n">
        <v>30</v>
      </c>
      <c r="M251" s="5" t="n">
        <v>0</v>
      </c>
      <c r="N251" s="5" t="n">
        <v>1.9</v>
      </c>
      <c r="O251" s="5" t="n">
        <v>830</v>
      </c>
      <c r="P251" s="5" t="n">
        <v>0.04</v>
      </c>
      <c r="Q251" s="5" t="n">
        <v>0.09</v>
      </c>
      <c r="R251" s="5" t="n">
        <v>0.4</v>
      </c>
      <c r="S251" s="5" t="n">
        <v>0.1</v>
      </c>
      <c r="T251" s="5" t="n">
        <v>14</v>
      </c>
      <c r="U251" s="5" t="n">
        <v>0</v>
      </c>
      <c r="V251" s="5" t="n">
        <v>51</v>
      </c>
      <c r="W251" s="5" t="n">
        <v>1.8</v>
      </c>
      <c r="X251" s="5" t="n">
        <v>81</v>
      </c>
      <c r="Y251" s="5" t="n">
        <v>0.4</v>
      </c>
      <c r="Z251" s="5" t="n">
        <v>379</v>
      </c>
      <c r="AA251" s="7" t="n">
        <v>3</v>
      </c>
    </row>
    <row r="252" customFormat="false" ht="26.25" hidden="false" customHeight="true" outlineLevel="0" collapsed="false">
      <c r="A252" s="4" t="s">
        <v>300</v>
      </c>
      <c r="B252" s="4" t="s">
        <v>297</v>
      </c>
      <c r="C252" s="5" t="n">
        <v>0.4</v>
      </c>
      <c r="D252" s="5"/>
      <c r="E252" s="4" t="s">
        <v>29</v>
      </c>
      <c r="F252" s="6" t="s">
        <v>297</v>
      </c>
      <c r="G252" s="5" t="n">
        <v>23</v>
      </c>
      <c r="H252" s="5" t="n">
        <v>0.2</v>
      </c>
      <c r="I252" s="5" t="n">
        <v>1.4</v>
      </c>
      <c r="J252" s="5" t="n">
        <v>4.5</v>
      </c>
      <c r="K252" s="5" t="n">
        <v>6</v>
      </c>
      <c r="L252" s="5" t="n">
        <v>8</v>
      </c>
      <c r="M252" s="5" t="n">
        <v>0</v>
      </c>
      <c r="N252" s="5" t="n">
        <v>2.3</v>
      </c>
      <c r="O252" s="5" t="n">
        <v>255</v>
      </c>
      <c r="P252" s="5" t="n">
        <v>0.06</v>
      </c>
      <c r="Q252" s="5" t="n">
        <v>0.03</v>
      </c>
      <c r="R252" s="5" t="n">
        <v>0.3</v>
      </c>
      <c r="S252" s="5" t="n">
        <v>0.05</v>
      </c>
      <c r="T252" s="5" t="n">
        <v>60</v>
      </c>
      <c r="U252" s="5" t="n">
        <v>0</v>
      </c>
      <c r="V252" s="5" t="n">
        <v>19</v>
      </c>
      <c r="W252" s="5" t="n">
        <v>0.6</v>
      </c>
      <c r="X252" s="5" t="n">
        <v>13</v>
      </c>
      <c r="Y252" s="5" t="n">
        <v>0.6</v>
      </c>
      <c r="Z252" s="5" t="n">
        <v>302</v>
      </c>
      <c r="AA252" s="7" t="n">
        <v>1.3</v>
      </c>
    </row>
    <row r="253" customFormat="false" ht="26.25" hidden="false" customHeight="true" outlineLevel="0" collapsed="false">
      <c r="A253" s="4" t="s">
        <v>301</v>
      </c>
      <c r="B253" s="4" t="s">
        <v>297</v>
      </c>
      <c r="C253" s="5" t="n">
        <v>0.4</v>
      </c>
      <c r="D253" s="5"/>
      <c r="E253" s="4" t="s">
        <v>29</v>
      </c>
      <c r="F253" s="6" t="s">
        <v>297</v>
      </c>
      <c r="G253" s="5" t="n">
        <v>17</v>
      </c>
      <c r="H253" s="5" t="n">
        <v>0.1</v>
      </c>
      <c r="I253" s="5" t="n">
        <v>0.9</v>
      </c>
      <c r="J253" s="5" t="n">
        <v>4</v>
      </c>
      <c r="K253" s="5" t="n">
        <v>4</v>
      </c>
      <c r="L253" s="5" t="n">
        <v>3.2</v>
      </c>
      <c r="M253" s="5" t="n">
        <v>0</v>
      </c>
      <c r="N253" s="5" t="n">
        <v>0.1</v>
      </c>
      <c r="O253" s="5" t="n">
        <v>229</v>
      </c>
      <c r="P253" s="5" t="n">
        <v>0.06</v>
      </c>
      <c r="Q253" s="5" t="n">
        <v>0.02</v>
      </c>
      <c r="R253" s="5" t="n">
        <v>0.4</v>
      </c>
      <c r="S253" s="5" t="n">
        <v>0.06</v>
      </c>
      <c r="T253" s="5" t="n">
        <v>43</v>
      </c>
      <c r="U253" s="5" t="n">
        <v>0</v>
      </c>
      <c r="V253" s="5" t="n">
        <v>18</v>
      </c>
      <c r="W253" s="5" t="n">
        <v>0.5</v>
      </c>
      <c r="X253" s="5" t="n">
        <v>10</v>
      </c>
      <c r="Y253" s="5" t="n">
        <v>0.2</v>
      </c>
      <c r="Z253" s="5" t="n">
        <v>211</v>
      </c>
      <c r="AA253" s="7" t="n">
        <v>1.2</v>
      </c>
    </row>
    <row r="254" customFormat="false" ht="26.25" hidden="false" customHeight="true" outlineLevel="0" collapsed="false">
      <c r="A254" s="4" t="s">
        <v>302</v>
      </c>
      <c r="B254" s="4" t="s">
        <v>297</v>
      </c>
      <c r="C254" s="5" t="n">
        <v>0.3</v>
      </c>
      <c r="D254" s="5"/>
      <c r="E254" s="4" t="s">
        <v>29</v>
      </c>
      <c r="F254" s="6" t="s">
        <v>297</v>
      </c>
      <c r="G254" s="5" t="n">
        <v>17</v>
      </c>
      <c r="H254" s="5" t="n">
        <v>0.2</v>
      </c>
      <c r="I254" s="5" t="n">
        <v>1.3</v>
      </c>
      <c r="J254" s="5" t="n">
        <v>3.4</v>
      </c>
      <c r="K254" s="5" t="n">
        <v>145</v>
      </c>
      <c r="L254" s="5" t="n">
        <v>6.5</v>
      </c>
      <c r="M254" s="5" t="n">
        <v>0</v>
      </c>
      <c r="N254" s="5" t="n">
        <v>0.4</v>
      </c>
      <c r="O254" s="5" t="n">
        <v>231</v>
      </c>
      <c r="P254" s="5" t="n">
        <v>0.08</v>
      </c>
      <c r="Q254" s="5" t="n">
        <v>0.08</v>
      </c>
      <c r="R254" s="5" t="n">
        <v>0.4</v>
      </c>
      <c r="S254" s="5" t="n">
        <v>0.02</v>
      </c>
      <c r="T254" s="5" t="n">
        <v>142</v>
      </c>
      <c r="U254" s="5" t="n">
        <v>0</v>
      </c>
      <c r="V254" s="5" t="n">
        <v>52</v>
      </c>
      <c r="W254" s="5" t="n">
        <v>0.8</v>
      </c>
      <c r="X254" s="5" t="n">
        <v>15</v>
      </c>
      <c r="Y254" s="5" t="n">
        <v>0.4</v>
      </c>
      <c r="Z254" s="5" t="n">
        <v>314</v>
      </c>
      <c r="AA254" s="7" t="n">
        <v>0.7</v>
      </c>
    </row>
    <row r="255" customFormat="false" ht="26.25" hidden="false" customHeight="true" outlineLevel="0" collapsed="false">
      <c r="A255" s="4" t="s">
        <v>303</v>
      </c>
      <c r="B255" s="4" t="s">
        <v>297</v>
      </c>
      <c r="C255" s="5" t="n">
        <v>0.3</v>
      </c>
      <c r="D255" s="5"/>
      <c r="E255" s="4" t="s">
        <v>29</v>
      </c>
      <c r="F255" s="6" t="s">
        <v>297</v>
      </c>
      <c r="G255" s="5" t="n">
        <v>82</v>
      </c>
      <c r="H255" s="5" t="n">
        <v>0.3</v>
      </c>
      <c r="I255" s="5" t="n">
        <v>3.3</v>
      </c>
      <c r="J255" s="5" t="n">
        <v>17.5</v>
      </c>
      <c r="K255" s="5" t="n">
        <v>2</v>
      </c>
      <c r="L255" s="5" t="n">
        <v>4</v>
      </c>
      <c r="M255" s="5" t="n">
        <v>0</v>
      </c>
      <c r="N255" s="5" t="n">
        <v>0</v>
      </c>
      <c r="O255" s="5" t="n">
        <v>0</v>
      </c>
      <c r="P255" s="5" t="n">
        <v>0.1</v>
      </c>
      <c r="Q255" s="5" t="n">
        <v>0.05</v>
      </c>
      <c r="R255" s="5" t="n">
        <v>0.5</v>
      </c>
      <c r="S255" s="5" t="n">
        <v>0.1</v>
      </c>
      <c r="T255" s="5" t="n">
        <v>10</v>
      </c>
      <c r="U255" s="5" t="n">
        <v>0</v>
      </c>
      <c r="V255" s="5" t="n">
        <v>60</v>
      </c>
      <c r="W255" s="5" t="n">
        <v>1.8</v>
      </c>
      <c r="X255" s="5" t="n">
        <v>25</v>
      </c>
      <c r="Y255" s="5" t="n">
        <v>0.5</v>
      </c>
      <c r="Z255" s="5" t="n">
        <v>380</v>
      </c>
      <c r="AA255" s="7" t="n">
        <v>1.8</v>
      </c>
    </row>
    <row r="256" customFormat="false" ht="26.25" hidden="false" customHeight="true" outlineLevel="0" collapsed="false">
      <c r="A256" s="4" t="s">
        <v>304</v>
      </c>
      <c r="B256" s="4" t="s">
        <v>297</v>
      </c>
      <c r="C256" s="5" t="n">
        <v>0.3</v>
      </c>
      <c r="D256" s="5"/>
      <c r="E256" s="4" t="s">
        <v>29</v>
      </c>
      <c r="F256" s="6" t="s">
        <v>297</v>
      </c>
      <c r="G256" s="5" t="n">
        <v>73</v>
      </c>
      <c r="H256" s="5" t="n">
        <v>0.1</v>
      </c>
      <c r="I256" s="5" t="n">
        <v>2</v>
      </c>
      <c r="J256" s="5" t="n">
        <v>17</v>
      </c>
      <c r="K256" s="5" t="n">
        <v>2</v>
      </c>
      <c r="L256" s="5" t="n">
        <v>4</v>
      </c>
      <c r="M256" s="5" t="n">
        <v>0</v>
      </c>
      <c r="N256" s="5" t="n">
        <v>0</v>
      </c>
      <c r="O256" s="5" t="n">
        <v>0</v>
      </c>
      <c r="P256" s="5" t="n">
        <v>0.2</v>
      </c>
      <c r="Q256" s="5" t="n">
        <v>0.06</v>
      </c>
      <c r="R256" s="5" t="n">
        <v>1.3</v>
      </c>
      <c r="S256" s="5" t="n">
        <v>0.08</v>
      </c>
      <c r="T256" s="5" t="n">
        <v>13</v>
      </c>
      <c r="U256" s="5" t="n">
        <v>0</v>
      </c>
      <c r="V256" s="5" t="n">
        <v>14</v>
      </c>
      <c r="W256" s="5" t="n">
        <v>3.4</v>
      </c>
      <c r="X256" s="5" t="n">
        <v>17</v>
      </c>
      <c r="Y256" s="5" t="n">
        <v>0.1</v>
      </c>
      <c r="Z256" s="5" t="n">
        <v>429</v>
      </c>
      <c r="AA256" s="7" t="n">
        <v>5.1</v>
      </c>
    </row>
    <row r="257" customFormat="false" ht="26.25" hidden="false" customHeight="true" outlineLevel="0" collapsed="false">
      <c r="A257" s="4" t="s">
        <v>305</v>
      </c>
      <c r="B257" s="4" t="s">
        <v>297</v>
      </c>
      <c r="C257" s="5" t="n">
        <v>0.3</v>
      </c>
      <c r="D257" s="5"/>
      <c r="E257" s="4" t="s">
        <v>29</v>
      </c>
      <c r="F257" s="6" t="s">
        <v>297</v>
      </c>
      <c r="G257" s="5" t="n">
        <v>75</v>
      </c>
      <c r="H257" s="5" t="n">
        <v>0.3</v>
      </c>
      <c r="I257" s="5" t="n">
        <v>1.2</v>
      </c>
      <c r="J257" s="5" t="n">
        <v>18</v>
      </c>
      <c r="K257" s="5" t="n">
        <v>0</v>
      </c>
      <c r="L257" s="5" t="n">
        <v>17</v>
      </c>
      <c r="M257" s="5" t="n">
        <v>0</v>
      </c>
      <c r="N257" s="5" t="n">
        <v>1.5</v>
      </c>
      <c r="O257" s="5" t="n">
        <v>22</v>
      </c>
      <c r="P257" s="5" t="n">
        <v>0.09</v>
      </c>
      <c r="Q257" s="5" t="n">
        <v>0.05</v>
      </c>
      <c r="R257" s="5" t="n">
        <v>0.7</v>
      </c>
      <c r="S257" s="5" t="n">
        <v>0.09</v>
      </c>
      <c r="T257" s="5" t="n">
        <v>67</v>
      </c>
      <c r="U257" s="5" t="n">
        <v>0</v>
      </c>
      <c r="V257" s="5" t="n">
        <v>36</v>
      </c>
      <c r="W257" s="5" t="n">
        <v>0.6</v>
      </c>
      <c r="X257" s="5" t="n">
        <v>29</v>
      </c>
      <c r="Y257" s="5" t="n">
        <v>0.6</v>
      </c>
      <c r="Z257" s="5" t="n">
        <v>375</v>
      </c>
      <c r="AA257" s="7" t="n">
        <v>3.6</v>
      </c>
    </row>
    <row r="258" customFormat="false" ht="26.25" hidden="false" customHeight="true" outlineLevel="0" collapsed="false">
      <c r="A258" s="4" t="s">
        <v>306</v>
      </c>
      <c r="B258" s="4" t="s">
        <v>297</v>
      </c>
      <c r="C258" s="5" t="n">
        <v>0.2</v>
      </c>
      <c r="D258" s="5"/>
      <c r="E258" s="4" t="s">
        <v>29</v>
      </c>
      <c r="F258" s="6" t="s">
        <v>297</v>
      </c>
      <c r="G258" s="5" t="n">
        <v>38</v>
      </c>
      <c r="H258" s="5" t="n">
        <v>0.2</v>
      </c>
      <c r="I258" s="5" t="n">
        <v>1.2</v>
      </c>
      <c r="J258" s="5" t="n">
        <v>8.6</v>
      </c>
      <c r="K258" s="5" t="n">
        <v>0</v>
      </c>
      <c r="L258" s="5" t="n">
        <v>25</v>
      </c>
      <c r="M258" s="5" t="n">
        <v>0</v>
      </c>
      <c r="N258" s="5" t="n">
        <v>0</v>
      </c>
      <c r="O258" s="5" t="n">
        <v>0.1</v>
      </c>
      <c r="P258" s="5" t="n">
        <v>0.09</v>
      </c>
      <c r="Q258" s="5" t="n">
        <v>0.04</v>
      </c>
      <c r="R258" s="5" t="n">
        <v>0.7</v>
      </c>
      <c r="S258" s="5" t="n">
        <v>0.1</v>
      </c>
      <c r="T258" s="5" t="n">
        <v>21</v>
      </c>
      <c r="U258" s="5" t="n">
        <v>0</v>
      </c>
      <c r="V258" s="5" t="n">
        <v>43</v>
      </c>
      <c r="W258" s="5" t="n">
        <v>0.4</v>
      </c>
      <c r="X258" s="5" t="n">
        <v>20</v>
      </c>
      <c r="Y258" s="5" t="n">
        <v>0.3</v>
      </c>
      <c r="Z258" s="5" t="n">
        <v>305</v>
      </c>
      <c r="AA258" s="7" t="n">
        <v>1.3</v>
      </c>
    </row>
    <row r="259" customFormat="false" ht="26.25" hidden="false" customHeight="true" outlineLevel="0" collapsed="false">
      <c r="A259" s="4" t="s">
        <v>307</v>
      </c>
      <c r="B259" s="4" t="s">
        <v>297</v>
      </c>
      <c r="C259" s="5" t="n">
        <v>0.6</v>
      </c>
      <c r="D259" s="5"/>
      <c r="E259" s="4" t="s">
        <v>29</v>
      </c>
      <c r="F259" s="6" t="s">
        <v>297</v>
      </c>
      <c r="G259" s="5" t="n">
        <v>33</v>
      </c>
      <c r="H259" s="5" t="n">
        <v>0.2</v>
      </c>
      <c r="I259" s="5" t="n">
        <v>1.9</v>
      </c>
      <c r="J259" s="5" t="n">
        <v>7.5</v>
      </c>
      <c r="K259" s="5" t="n">
        <v>36</v>
      </c>
      <c r="L259" s="5" t="n">
        <v>23</v>
      </c>
      <c r="M259" s="5" t="n">
        <v>0</v>
      </c>
      <c r="N259" s="5" t="n">
        <v>0.4</v>
      </c>
      <c r="O259" s="5" t="n">
        <v>31</v>
      </c>
      <c r="P259" s="5" t="n">
        <v>0.2</v>
      </c>
      <c r="Q259" s="5" t="n">
        <v>0.06</v>
      </c>
      <c r="R259" s="5" t="n">
        <v>1</v>
      </c>
      <c r="S259" s="5" t="n">
        <v>0.22</v>
      </c>
      <c r="T259" s="5" t="n">
        <v>60</v>
      </c>
      <c r="U259" s="5" t="n">
        <v>0</v>
      </c>
      <c r="V259" s="5" t="n">
        <v>82</v>
      </c>
      <c r="W259" s="5" t="n">
        <v>0.6</v>
      </c>
      <c r="X259" s="5" t="n">
        <v>57</v>
      </c>
      <c r="Y259" s="5" t="n">
        <v>0.6</v>
      </c>
      <c r="Z259" s="5" t="n">
        <v>299</v>
      </c>
      <c r="AA259" s="7" t="n">
        <v>1.5</v>
      </c>
    </row>
    <row r="260" customFormat="false" ht="26.25" hidden="false" customHeight="true" outlineLevel="0" collapsed="false">
      <c r="A260" s="4" t="s">
        <v>308</v>
      </c>
      <c r="B260" s="4" t="s">
        <v>297</v>
      </c>
      <c r="C260" s="5" t="n">
        <v>0.3</v>
      </c>
      <c r="D260" s="5"/>
      <c r="E260" s="4" t="s">
        <v>29</v>
      </c>
      <c r="F260" s="6" t="s">
        <v>297</v>
      </c>
      <c r="G260" s="5" t="n">
        <v>86</v>
      </c>
      <c r="H260" s="5" t="n">
        <v>0.1</v>
      </c>
      <c r="I260" s="5" t="n">
        <v>1.6</v>
      </c>
      <c r="J260" s="5" t="n">
        <v>20</v>
      </c>
      <c r="K260" s="5" t="n">
        <v>709</v>
      </c>
      <c r="L260" s="5" t="n">
        <v>2.4</v>
      </c>
      <c r="M260" s="5" t="n">
        <v>0</v>
      </c>
      <c r="N260" s="5" t="n">
        <v>0.3</v>
      </c>
      <c r="O260" s="5" t="n">
        <v>1.8</v>
      </c>
      <c r="P260" s="5" t="n">
        <v>0.08</v>
      </c>
      <c r="Q260" s="5" t="n">
        <v>0.06</v>
      </c>
      <c r="R260" s="5" t="n">
        <v>0.6</v>
      </c>
      <c r="S260" s="5" t="n">
        <v>0.21</v>
      </c>
      <c r="T260" s="5" t="n">
        <v>11</v>
      </c>
      <c r="U260" s="5" t="n">
        <v>0</v>
      </c>
      <c r="V260" s="5" t="n">
        <v>30</v>
      </c>
      <c r="W260" s="5" t="n">
        <v>0.6</v>
      </c>
      <c r="X260" s="5" t="n">
        <v>25</v>
      </c>
      <c r="Y260" s="5" t="n">
        <v>0.3</v>
      </c>
      <c r="Z260" s="5" t="n">
        <v>337</v>
      </c>
      <c r="AA260" s="7" t="n">
        <v>6</v>
      </c>
    </row>
    <row r="261" customFormat="false" ht="26.25" hidden="false" customHeight="true" outlineLevel="0" collapsed="false">
      <c r="A261" s="4" t="s">
        <v>309</v>
      </c>
      <c r="B261" s="4" t="s">
        <v>297</v>
      </c>
      <c r="C261" s="5" t="n">
        <v>0.5</v>
      </c>
      <c r="D261" s="5"/>
      <c r="E261" s="4" t="s">
        <v>29</v>
      </c>
      <c r="F261" s="6" t="s">
        <v>297</v>
      </c>
      <c r="G261" s="5" t="n">
        <v>47</v>
      </c>
      <c r="H261" s="5" t="n">
        <v>0.2</v>
      </c>
      <c r="I261" s="5" t="n">
        <v>3.3</v>
      </c>
      <c r="J261" s="5" t="n">
        <v>11</v>
      </c>
      <c r="K261" s="5" t="n">
        <v>1</v>
      </c>
      <c r="L261" s="5" t="n">
        <v>12</v>
      </c>
      <c r="M261" s="5" t="n">
        <v>0</v>
      </c>
      <c r="N261" s="5" t="n">
        <v>0.2</v>
      </c>
      <c r="O261" s="5" t="n">
        <v>15</v>
      </c>
      <c r="P261" s="5" t="n">
        <v>0.07</v>
      </c>
      <c r="Q261" s="5" t="n">
        <v>0.07</v>
      </c>
      <c r="R261" s="5" t="n">
        <v>1</v>
      </c>
      <c r="S261" s="5" t="n">
        <v>0.12</v>
      </c>
      <c r="T261" s="5" t="n">
        <v>68</v>
      </c>
      <c r="U261" s="5" t="n">
        <v>0</v>
      </c>
      <c r="V261" s="5" t="n">
        <v>44</v>
      </c>
      <c r="W261" s="5" t="n">
        <v>1.3</v>
      </c>
      <c r="X261" s="5" t="n">
        <v>60</v>
      </c>
      <c r="Y261" s="5" t="n">
        <v>0.5</v>
      </c>
      <c r="Z261" s="5" t="n">
        <v>370</v>
      </c>
      <c r="AA261" s="7" t="n">
        <v>1.6</v>
      </c>
    </row>
    <row r="262" customFormat="false" ht="26.25" hidden="false" customHeight="true" outlineLevel="0" collapsed="false">
      <c r="A262" s="4" t="s">
        <v>310</v>
      </c>
      <c r="B262" s="4" t="s">
        <v>297</v>
      </c>
      <c r="C262" s="5" t="n">
        <v>0.5</v>
      </c>
      <c r="D262" s="5"/>
      <c r="E262" s="4" t="s">
        <v>29</v>
      </c>
      <c r="F262" s="6" t="s">
        <v>297</v>
      </c>
      <c r="G262" s="5" t="n">
        <v>42</v>
      </c>
      <c r="H262" s="5" t="n">
        <v>0.2</v>
      </c>
      <c r="I262" s="5" t="n">
        <v>2.8</v>
      </c>
      <c r="J262" s="5" t="n">
        <v>7.6</v>
      </c>
      <c r="K262" s="5" t="n">
        <v>38</v>
      </c>
      <c r="L262" s="5" t="n">
        <v>60</v>
      </c>
      <c r="M262" s="5" t="n">
        <v>0</v>
      </c>
      <c r="N262" s="5" t="n">
        <v>0.2</v>
      </c>
      <c r="O262" s="5" t="n">
        <v>25</v>
      </c>
      <c r="P262" s="5" t="n">
        <v>0.15</v>
      </c>
      <c r="Q262" s="5" t="n">
        <v>0.08</v>
      </c>
      <c r="R262" s="5" t="n">
        <v>0.6</v>
      </c>
      <c r="S262" s="5" t="n">
        <v>0.16</v>
      </c>
      <c r="T262" s="5" t="n">
        <v>42</v>
      </c>
      <c r="U262" s="5" t="n">
        <v>0</v>
      </c>
      <c r="V262" s="5" t="n">
        <v>43</v>
      </c>
      <c r="W262" s="5" t="n">
        <v>2.1</v>
      </c>
      <c r="X262" s="5" t="n">
        <v>24</v>
      </c>
      <c r="Y262" s="5" t="n">
        <v>0.3</v>
      </c>
      <c r="Z262" s="5" t="n">
        <v>200</v>
      </c>
      <c r="AA262" s="7" t="n">
        <v>7.4</v>
      </c>
    </row>
    <row r="263" customFormat="false" ht="26.25" hidden="false" customHeight="true" outlineLevel="0" collapsed="false">
      <c r="A263" s="4" t="s">
        <v>311</v>
      </c>
      <c r="B263" s="4" t="s">
        <v>297</v>
      </c>
      <c r="C263" s="5" t="n">
        <v>0.8</v>
      </c>
      <c r="D263" s="5"/>
      <c r="E263" s="4" t="s">
        <v>29</v>
      </c>
      <c r="F263" s="6" t="s">
        <v>297</v>
      </c>
      <c r="G263" s="5" t="n">
        <v>27</v>
      </c>
      <c r="H263" s="5" t="n">
        <v>0.3</v>
      </c>
      <c r="I263" s="5" t="n">
        <v>2.6</v>
      </c>
      <c r="J263" s="5" t="n">
        <v>5.2</v>
      </c>
      <c r="K263" s="5" t="n">
        <v>1</v>
      </c>
      <c r="L263" s="5" t="n">
        <v>4</v>
      </c>
      <c r="M263" s="5" t="n">
        <v>0</v>
      </c>
      <c r="N263" s="5" t="n">
        <v>0</v>
      </c>
      <c r="O263" s="5" t="n">
        <v>0</v>
      </c>
      <c r="P263" s="5" t="n">
        <v>0.15</v>
      </c>
      <c r="Q263" s="5" t="n">
        <v>0.07</v>
      </c>
      <c r="R263" s="5" t="n">
        <v>0.5</v>
      </c>
      <c r="S263" s="5" t="n">
        <v>0.24</v>
      </c>
      <c r="T263" s="5" t="n">
        <v>7</v>
      </c>
      <c r="U263" s="5" t="n">
        <v>0</v>
      </c>
      <c r="V263" s="5" t="n">
        <v>13</v>
      </c>
      <c r="W263" s="5" t="n">
        <v>0.5</v>
      </c>
      <c r="X263" s="5" t="n">
        <v>3</v>
      </c>
      <c r="Y263" s="5" t="n">
        <v>1.1</v>
      </c>
      <c r="Z263" s="5" t="n">
        <v>533</v>
      </c>
      <c r="AA263" s="7" t="n">
        <v>1</v>
      </c>
    </row>
    <row r="264" customFormat="false" ht="26.25" hidden="false" customHeight="true" outlineLevel="0" collapsed="false">
      <c r="A264" s="4" t="s">
        <v>312</v>
      </c>
      <c r="B264" s="4" t="s">
        <v>297</v>
      </c>
      <c r="C264" s="5" t="n">
        <v>0.3</v>
      </c>
      <c r="D264" s="5"/>
      <c r="E264" s="4" t="s">
        <v>29</v>
      </c>
      <c r="F264" s="6" t="s">
        <v>297</v>
      </c>
      <c r="G264" s="5" t="n">
        <v>45</v>
      </c>
      <c r="H264" s="5" t="n">
        <v>0.7</v>
      </c>
      <c r="I264" s="5" t="n">
        <v>2.7</v>
      </c>
      <c r="J264" s="5" t="n">
        <v>9.2</v>
      </c>
      <c r="K264" s="5" t="n">
        <v>508</v>
      </c>
      <c r="L264" s="5" t="n">
        <v>35</v>
      </c>
      <c r="M264" s="5" t="n">
        <v>0</v>
      </c>
      <c r="N264" s="5" t="n">
        <v>3.4</v>
      </c>
      <c r="O264" s="5" t="n">
        <v>778</v>
      </c>
      <c r="P264" s="5" t="n">
        <v>0.19</v>
      </c>
      <c r="Q264" s="5" t="n">
        <v>0.26</v>
      </c>
      <c r="R264" s="5" t="n">
        <v>0.8</v>
      </c>
      <c r="S264" s="5" t="n">
        <v>0.25</v>
      </c>
      <c r="T264" s="5" t="n">
        <v>27</v>
      </c>
      <c r="U264" s="5" t="n">
        <v>0</v>
      </c>
      <c r="V264" s="5" t="n">
        <v>187</v>
      </c>
      <c r="W264" s="5" t="n">
        <v>3.1</v>
      </c>
      <c r="X264" s="5" t="n">
        <v>36</v>
      </c>
      <c r="Y264" s="5" t="n">
        <v>0.4</v>
      </c>
      <c r="Z264" s="5" t="n">
        <v>397</v>
      </c>
      <c r="AA264" s="7" t="n">
        <v>1.8</v>
      </c>
    </row>
    <row r="265" customFormat="false" ht="26.25" hidden="false" customHeight="true" outlineLevel="0" collapsed="false">
      <c r="A265" s="4" t="s">
        <v>313</v>
      </c>
      <c r="B265" s="4" t="s">
        <v>297</v>
      </c>
      <c r="C265" s="5" t="n">
        <v>0.4</v>
      </c>
      <c r="D265" s="5"/>
      <c r="E265" s="4" t="s">
        <v>29</v>
      </c>
      <c r="F265" s="6" t="s">
        <v>297</v>
      </c>
      <c r="G265" s="5" t="n">
        <v>15</v>
      </c>
      <c r="H265" s="5" t="n">
        <v>0.2</v>
      </c>
      <c r="I265" s="5" t="n">
        <v>1.4</v>
      </c>
      <c r="J265" s="5" t="n">
        <v>2.9</v>
      </c>
      <c r="K265" s="5" t="n">
        <v>148</v>
      </c>
      <c r="L265" s="5" t="n">
        <v>4</v>
      </c>
      <c r="M265" s="5" t="n">
        <v>0</v>
      </c>
      <c r="N265" s="5" t="n">
        <v>0.2</v>
      </c>
      <c r="O265" s="5" t="n">
        <v>102</v>
      </c>
      <c r="P265" s="5" t="n">
        <v>0.06</v>
      </c>
      <c r="Q265" s="5" t="n">
        <v>0.06</v>
      </c>
      <c r="R265" s="5" t="n">
        <v>0.3</v>
      </c>
      <c r="S265" s="5" t="n">
        <v>0.09</v>
      </c>
      <c r="T265" s="5" t="n">
        <v>73</v>
      </c>
      <c r="U265" s="5" t="n">
        <v>0</v>
      </c>
      <c r="V265" s="5" t="n">
        <v>33</v>
      </c>
      <c r="W265" s="5" t="n">
        <v>0.9</v>
      </c>
      <c r="X265" s="5" t="n">
        <v>13</v>
      </c>
      <c r="Y265" s="5" t="n">
        <v>0.2</v>
      </c>
      <c r="Z265" s="5" t="n">
        <v>194</v>
      </c>
      <c r="AA265" s="7" t="n">
        <v>0.9</v>
      </c>
    </row>
    <row r="266" customFormat="false" ht="26.25" hidden="false" customHeight="true" outlineLevel="0" collapsed="false">
      <c r="A266" s="4" t="s">
        <v>314</v>
      </c>
      <c r="B266" s="4" t="s">
        <v>297</v>
      </c>
      <c r="C266" s="5" t="n">
        <v>0.4</v>
      </c>
      <c r="D266" s="5"/>
      <c r="E266" s="4" t="s">
        <v>29</v>
      </c>
      <c r="F266" s="6" t="s">
        <v>297</v>
      </c>
      <c r="G266" s="5" t="n">
        <v>16</v>
      </c>
      <c r="H266" s="5" t="n">
        <v>0.2</v>
      </c>
      <c r="I266" s="5" t="n">
        <v>1.4</v>
      </c>
      <c r="J266" s="5" t="n">
        <v>2.3</v>
      </c>
      <c r="K266" s="5" t="n">
        <v>250</v>
      </c>
      <c r="L266" s="5" t="n">
        <v>18</v>
      </c>
      <c r="M266" s="5" t="n">
        <v>0</v>
      </c>
      <c r="N266" s="5" t="n">
        <v>0.3</v>
      </c>
      <c r="O266" s="5" t="n">
        <v>126</v>
      </c>
      <c r="P266" s="5" t="n">
        <v>0.06</v>
      </c>
      <c r="Q266" s="5" t="n">
        <v>0.06</v>
      </c>
      <c r="R266" s="5" t="n">
        <v>0.4</v>
      </c>
      <c r="S266" s="5" t="n">
        <v>0.09</v>
      </c>
      <c r="T266" s="5" t="n">
        <v>38</v>
      </c>
      <c r="U266" s="5" t="n">
        <v>0</v>
      </c>
      <c r="V266" s="5" t="n">
        <v>35</v>
      </c>
      <c r="W266" s="5" t="n">
        <v>0.9</v>
      </c>
      <c r="X266" s="5" t="n">
        <v>10</v>
      </c>
      <c r="Y266" s="5" t="n">
        <v>0.2</v>
      </c>
      <c r="Z266" s="5" t="n">
        <v>240</v>
      </c>
      <c r="AA266" s="7" t="n">
        <v>0.3</v>
      </c>
    </row>
    <row r="267" customFormat="false" ht="26.25" hidden="false" customHeight="true" outlineLevel="0" collapsed="false">
      <c r="A267" s="4" t="s">
        <v>315</v>
      </c>
      <c r="B267" s="4" t="s">
        <v>297</v>
      </c>
      <c r="C267" s="5" t="n">
        <v>0.4</v>
      </c>
      <c r="D267" s="5"/>
      <c r="E267" s="4" t="s">
        <v>29</v>
      </c>
      <c r="F267" s="6" t="s">
        <v>297</v>
      </c>
      <c r="G267" s="5" t="n">
        <v>15</v>
      </c>
      <c r="H267" s="5" t="n">
        <v>0.2</v>
      </c>
      <c r="I267" s="5" t="n">
        <v>1.3</v>
      </c>
      <c r="J267" s="5" t="n">
        <v>2.3</v>
      </c>
      <c r="K267" s="5" t="n">
        <v>200</v>
      </c>
      <c r="L267" s="5" t="n">
        <v>10</v>
      </c>
      <c r="M267" s="5" t="n">
        <v>0</v>
      </c>
      <c r="N267" s="5" t="n">
        <v>0.3</v>
      </c>
      <c r="O267" s="5" t="n">
        <v>120</v>
      </c>
      <c r="P267" s="5" t="n">
        <v>0.06</v>
      </c>
      <c r="Q267" s="5" t="n">
        <v>0.06</v>
      </c>
      <c r="R267" s="5" t="n">
        <v>0.3</v>
      </c>
      <c r="S267" s="5" t="n">
        <v>0.09</v>
      </c>
      <c r="T267" s="5" t="n">
        <v>40</v>
      </c>
      <c r="U267" s="5" t="n">
        <v>0</v>
      </c>
      <c r="V267" s="5" t="n">
        <v>33</v>
      </c>
      <c r="W267" s="5" t="n">
        <v>0.8</v>
      </c>
      <c r="X267" s="5" t="n">
        <v>10</v>
      </c>
      <c r="Y267" s="5" t="n">
        <v>0.2</v>
      </c>
      <c r="Z267" s="5" t="n">
        <v>220</v>
      </c>
      <c r="AA267" s="7" t="n">
        <v>0.7</v>
      </c>
    </row>
    <row r="268" customFormat="false" ht="15" hidden="false" customHeight="true" outlineLevel="0" collapsed="false">
      <c r="A268" s="4" t="s">
        <v>316</v>
      </c>
      <c r="B268" s="4" t="s">
        <v>317</v>
      </c>
      <c r="C268" s="5" t="n">
        <v>0.6</v>
      </c>
      <c r="D268" s="5"/>
      <c r="E268" s="4" t="s">
        <v>29</v>
      </c>
      <c r="F268" s="6" t="s">
        <v>317</v>
      </c>
      <c r="G268" s="5" t="n">
        <v>63</v>
      </c>
      <c r="H268" s="5" t="n">
        <v>0.2</v>
      </c>
      <c r="I268" s="5" t="n">
        <v>1.1</v>
      </c>
      <c r="J268" s="5" t="n">
        <v>16</v>
      </c>
      <c r="K268" s="5" t="n">
        <v>3</v>
      </c>
      <c r="L268" s="5" t="n">
        <v>7</v>
      </c>
      <c r="M268" s="5" t="n">
        <v>0</v>
      </c>
      <c r="N268" s="5" t="n">
        <v>0.1</v>
      </c>
      <c r="O268" s="5" t="n">
        <v>2.1</v>
      </c>
      <c r="P268" s="5" t="n">
        <v>0.03</v>
      </c>
      <c r="Q268" s="5" t="n">
        <v>0.03</v>
      </c>
      <c r="R268" s="5" t="n">
        <v>0.2</v>
      </c>
      <c r="S268" s="5" t="n">
        <v>0.05</v>
      </c>
      <c r="T268" s="5" t="n">
        <v>4</v>
      </c>
      <c r="U268" s="5" t="n">
        <v>0</v>
      </c>
      <c r="V268" s="5" t="n">
        <v>13</v>
      </c>
      <c r="W268" s="5" t="n">
        <v>0.4</v>
      </c>
      <c r="X268" s="5" t="n">
        <v>11</v>
      </c>
      <c r="Y268" s="5" t="n">
        <v>0.1</v>
      </c>
      <c r="Z268" s="5" t="n">
        <v>222</v>
      </c>
      <c r="AA268" s="7" t="n">
        <v>12</v>
      </c>
    </row>
    <row r="269" customFormat="false" ht="15" hidden="false" customHeight="true" outlineLevel="0" collapsed="false">
      <c r="A269" s="4" t="s">
        <v>318</v>
      </c>
      <c r="B269" s="4" t="s">
        <v>317</v>
      </c>
      <c r="C269" s="5" t="n">
        <v>0.4</v>
      </c>
      <c r="D269" s="5"/>
      <c r="E269" s="4" t="s">
        <v>29</v>
      </c>
      <c r="F269" s="6" t="s">
        <v>317</v>
      </c>
      <c r="G269" s="5" t="n">
        <v>46</v>
      </c>
      <c r="H269" s="5" t="n">
        <v>0.3</v>
      </c>
      <c r="I269" s="5" t="n">
        <v>0.7</v>
      </c>
      <c r="J269" s="5" t="n">
        <v>11</v>
      </c>
      <c r="K269" s="5" t="n">
        <v>17</v>
      </c>
      <c r="L269" s="5" t="n">
        <v>9.5</v>
      </c>
      <c r="M269" s="5" t="n">
        <v>0</v>
      </c>
      <c r="N269" s="5" t="n">
        <v>0.3</v>
      </c>
      <c r="O269" s="5" t="n">
        <v>6.4</v>
      </c>
      <c r="P269" s="5" t="n">
        <v>0.03</v>
      </c>
      <c r="Q269" s="5" t="n">
        <v>0.03</v>
      </c>
      <c r="R269" s="5" t="n">
        <v>0.4</v>
      </c>
      <c r="S269" s="5" t="n">
        <v>0.03</v>
      </c>
      <c r="T269" s="5" t="n">
        <v>5</v>
      </c>
      <c r="U269" s="5" t="n">
        <v>0</v>
      </c>
      <c r="V269" s="5" t="n">
        <v>6</v>
      </c>
      <c r="W269" s="5" t="n">
        <v>0.2</v>
      </c>
      <c r="X269" s="5" t="n">
        <v>7</v>
      </c>
      <c r="Y269" s="5" t="n">
        <v>0.1</v>
      </c>
      <c r="Z269" s="5" t="n">
        <v>157</v>
      </c>
      <c r="AA269" s="7" t="n">
        <v>7.2</v>
      </c>
    </row>
    <row r="270" customFormat="false" ht="15" hidden="false" customHeight="true" outlineLevel="0" collapsed="false">
      <c r="A270" s="4" t="s">
        <v>319</v>
      </c>
      <c r="B270" s="4" t="s">
        <v>317</v>
      </c>
      <c r="C270" s="5" t="n">
        <v>0.4</v>
      </c>
      <c r="D270" s="5"/>
      <c r="E270" s="4" t="s">
        <v>29</v>
      </c>
      <c r="F270" s="6" t="s">
        <v>317</v>
      </c>
      <c r="G270" s="5" t="n">
        <v>55</v>
      </c>
      <c r="H270" s="5" t="n">
        <v>0.3</v>
      </c>
      <c r="I270" s="5" t="n">
        <v>0.6</v>
      </c>
      <c r="J270" s="5" t="n">
        <v>13</v>
      </c>
      <c r="K270" s="5" t="n">
        <v>20</v>
      </c>
      <c r="L270" s="5" t="n">
        <v>10</v>
      </c>
      <c r="M270" s="5" t="n">
        <v>0</v>
      </c>
      <c r="N270" s="5" t="n">
        <v>0.4</v>
      </c>
      <c r="O270" s="5" t="n">
        <v>7</v>
      </c>
      <c r="P270" s="5" t="n">
        <v>0.03</v>
      </c>
      <c r="Q270" s="5" t="n">
        <v>0.03</v>
      </c>
      <c r="R270" s="5" t="n">
        <v>0.4</v>
      </c>
      <c r="S270" s="5" t="n">
        <v>0.03</v>
      </c>
      <c r="T270" s="5" t="n">
        <v>5</v>
      </c>
      <c r="U270" s="5" t="n">
        <v>0</v>
      </c>
      <c r="V270" s="5" t="n">
        <v>8</v>
      </c>
      <c r="W270" s="5" t="n">
        <v>0.2</v>
      </c>
      <c r="X270" s="5" t="n">
        <v>8</v>
      </c>
      <c r="Y270" s="5" t="n">
        <v>0.1</v>
      </c>
      <c r="Z270" s="5" t="n">
        <v>160</v>
      </c>
      <c r="AA270" s="7" t="n">
        <v>9.1</v>
      </c>
    </row>
    <row r="271" customFormat="false" ht="15" hidden="false" customHeight="true" outlineLevel="0" collapsed="false">
      <c r="A271" s="4" t="s">
        <v>320</v>
      </c>
      <c r="B271" s="4" t="s">
        <v>317</v>
      </c>
      <c r="C271" s="5" t="n">
        <v>0.5</v>
      </c>
      <c r="D271" s="5"/>
      <c r="E271" s="4" t="s">
        <v>29</v>
      </c>
      <c r="F271" s="6" t="s">
        <v>317</v>
      </c>
      <c r="G271" s="5" t="n">
        <v>48</v>
      </c>
      <c r="H271" s="5" t="n">
        <v>0.4</v>
      </c>
      <c r="I271" s="5" t="n">
        <v>1.4</v>
      </c>
      <c r="J271" s="5" t="n">
        <v>11</v>
      </c>
      <c r="K271" s="5" t="n">
        <v>96</v>
      </c>
      <c r="L271" s="5" t="n">
        <v>10</v>
      </c>
      <c r="M271" s="5" t="n">
        <v>0</v>
      </c>
      <c r="N271" s="5" t="n">
        <v>0.9</v>
      </c>
      <c r="O271" s="5" t="n">
        <v>3.3</v>
      </c>
      <c r="P271" s="5" t="n">
        <v>0.03</v>
      </c>
      <c r="Q271" s="5" t="n">
        <v>0.04</v>
      </c>
      <c r="R271" s="5" t="n">
        <v>0.6</v>
      </c>
      <c r="S271" s="5" t="n">
        <v>0.05</v>
      </c>
      <c r="T271" s="5" t="n">
        <v>9</v>
      </c>
      <c r="U271" s="5" t="n">
        <v>0</v>
      </c>
      <c r="V271" s="5" t="n">
        <v>13</v>
      </c>
      <c r="W271" s="5" t="n">
        <v>0.4</v>
      </c>
      <c r="X271" s="5" t="n">
        <v>10</v>
      </c>
      <c r="Y271" s="5" t="n">
        <v>0.2</v>
      </c>
      <c r="Z271" s="5" t="n">
        <v>259</v>
      </c>
      <c r="AA271" s="7" t="n">
        <v>7.7</v>
      </c>
    </row>
    <row r="272" customFormat="false" ht="15" hidden="false" customHeight="true" outlineLevel="0" collapsed="false">
      <c r="A272" s="4" t="s">
        <v>321</v>
      </c>
      <c r="B272" s="4" t="s">
        <v>317</v>
      </c>
      <c r="C272" s="5" t="n">
        <v>0.4</v>
      </c>
      <c r="D272" s="5"/>
      <c r="E272" s="4" t="s">
        <v>29</v>
      </c>
      <c r="F272" s="6" t="s">
        <v>317</v>
      </c>
      <c r="G272" s="5" t="n">
        <v>57</v>
      </c>
      <c r="H272" s="5" t="n">
        <v>0.1</v>
      </c>
      <c r="I272" s="5" t="n">
        <v>0.4</v>
      </c>
      <c r="J272" s="5" t="n">
        <v>15</v>
      </c>
      <c r="K272" s="5" t="n">
        <v>4</v>
      </c>
      <c r="L272" s="5" t="n">
        <v>15</v>
      </c>
      <c r="M272" s="5" t="n">
        <v>0</v>
      </c>
      <c r="N272" s="5" t="n">
        <v>0.4</v>
      </c>
      <c r="O272" s="5" t="n">
        <v>0</v>
      </c>
      <c r="P272" s="5" t="n">
        <v>0.02</v>
      </c>
      <c r="Q272" s="5" t="n">
        <v>0.03</v>
      </c>
      <c r="R272" s="5" t="n">
        <v>0.2</v>
      </c>
      <c r="S272" s="5" t="n">
        <v>0.04</v>
      </c>
      <c r="T272" s="5" t="n">
        <v>3</v>
      </c>
      <c r="U272" s="5" t="n">
        <v>0</v>
      </c>
      <c r="V272" s="5" t="n">
        <v>11</v>
      </c>
      <c r="W272" s="5" t="n">
        <v>0.7</v>
      </c>
      <c r="X272" s="5" t="n">
        <v>8</v>
      </c>
      <c r="Y272" s="5" t="n">
        <v>0.04</v>
      </c>
      <c r="Z272" s="5" t="n">
        <v>197</v>
      </c>
      <c r="AA272" s="7" t="n">
        <v>9</v>
      </c>
    </row>
    <row r="273" customFormat="false" ht="15" hidden="false" customHeight="true" outlineLevel="0" collapsed="false">
      <c r="A273" s="4" t="s">
        <v>322</v>
      </c>
      <c r="B273" s="4" t="s">
        <v>317</v>
      </c>
      <c r="C273" s="5" t="n">
        <v>0.4</v>
      </c>
      <c r="D273" s="5"/>
      <c r="E273" s="4" t="s">
        <v>29</v>
      </c>
      <c r="F273" s="6" t="s">
        <v>317</v>
      </c>
      <c r="G273" s="5" t="n">
        <v>73</v>
      </c>
      <c r="H273" s="5" t="n">
        <v>0.5</v>
      </c>
      <c r="I273" s="5" t="n">
        <v>0.7</v>
      </c>
      <c r="J273" s="5" t="n">
        <v>18</v>
      </c>
      <c r="K273" s="5" t="n">
        <v>30</v>
      </c>
      <c r="L273" s="5" t="n">
        <v>36</v>
      </c>
      <c r="M273" s="5" t="n">
        <v>0</v>
      </c>
      <c r="N273" s="5" t="n">
        <v>1.7</v>
      </c>
      <c r="O273" s="5" t="n">
        <v>0</v>
      </c>
      <c r="P273" s="5" t="n">
        <v>0.07</v>
      </c>
      <c r="Q273" s="5" t="n">
        <v>0.06</v>
      </c>
      <c r="R273" s="5" t="n">
        <v>0.5</v>
      </c>
      <c r="S273" s="5" t="n">
        <v>0.23</v>
      </c>
      <c r="T273" s="5" t="n">
        <v>6</v>
      </c>
      <c r="U273" s="5" t="n">
        <v>0</v>
      </c>
      <c r="V273" s="5" t="n">
        <v>38</v>
      </c>
      <c r="W273" s="5" t="n">
        <v>1.6</v>
      </c>
      <c r="X273" s="5" t="n">
        <v>5</v>
      </c>
      <c r="Y273" s="5" t="n">
        <v>0.1</v>
      </c>
      <c r="Z273" s="5" t="n">
        <v>280</v>
      </c>
      <c r="AA273" s="7" t="n">
        <v>9.9</v>
      </c>
    </row>
    <row r="274" customFormat="false" ht="15" hidden="false" customHeight="true" outlineLevel="0" collapsed="false">
      <c r="A274" s="4" t="s">
        <v>323</v>
      </c>
      <c r="B274" s="4" t="s">
        <v>317</v>
      </c>
      <c r="C274" s="5" t="n">
        <v>0.4</v>
      </c>
      <c r="D274" s="5"/>
      <c r="E274" s="4" t="s">
        <v>29</v>
      </c>
      <c r="F274" s="6" t="s">
        <v>317</v>
      </c>
      <c r="G274" s="5" t="n">
        <v>56</v>
      </c>
      <c r="H274" s="5" t="n">
        <v>0.2</v>
      </c>
      <c r="I274" s="5" t="n">
        <v>1.4</v>
      </c>
      <c r="J274" s="5" t="n">
        <v>13.6</v>
      </c>
      <c r="K274" s="5" t="n">
        <v>12</v>
      </c>
      <c r="L274" s="5" t="n">
        <v>41</v>
      </c>
      <c r="M274" s="5" t="n">
        <v>0</v>
      </c>
      <c r="N274" s="5" t="n">
        <v>0.1</v>
      </c>
      <c r="O274" s="5" t="n">
        <v>11</v>
      </c>
      <c r="P274" s="5" t="n">
        <v>0.05</v>
      </c>
      <c r="Q274" s="5" t="n">
        <v>0.05</v>
      </c>
      <c r="R274" s="5" t="n">
        <v>0.3</v>
      </c>
      <c r="S274" s="5" t="n">
        <v>0.07</v>
      </c>
      <c r="T274" s="5" t="n">
        <v>8</v>
      </c>
      <c r="U274" s="5" t="n">
        <v>0</v>
      </c>
      <c r="V274" s="5" t="n">
        <v>33</v>
      </c>
      <c r="W274" s="5" t="n">
        <v>1</v>
      </c>
      <c r="X274" s="5" t="n">
        <v>13</v>
      </c>
      <c r="Y274" s="5" t="n">
        <v>0.2</v>
      </c>
      <c r="Z274" s="5" t="n">
        <v>275</v>
      </c>
      <c r="AA274" s="7" t="n">
        <v>7.5</v>
      </c>
    </row>
    <row r="275" customFormat="false" ht="15" hidden="false" customHeight="true" outlineLevel="0" collapsed="false">
      <c r="A275" s="4" t="s">
        <v>324</v>
      </c>
      <c r="B275" s="4" t="s">
        <v>317</v>
      </c>
      <c r="C275" s="5" t="n">
        <v>0.4</v>
      </c>
      <c r="D275" s="5"/>
      <c r="E275" s="4" t="s">
        <v>29</v>
      </c>
      <c r="F275" s="6" t="s">
        <v>317</v>
      </c>
      <c r="G275" s="5" t="n">
        <v>63</v>
      </c>
      <c r="H275" s="5" t="n">
        <v>0.4</v>
      </c>
      <c r="I275" s="5" t="n">
        <v>1.4</v>
      </c>
      <c r="J275" s="5" t="n">
        <v>15</v>
      </c>
      <c r="K275" s="5" t="n">
        <v>23</v>
      </c>
      <c r="L275" s="5" t="n">
        <v>181</v>
      </c>
      <c r="M275" s="5" t="n">
        <v>0</v>
      </c>
      <c r="N275" s="5" t="n">
        <v>1</v>
      </c>
      <c r="O275" s="5" t="n">
        <v>0</v>
      </c>
      <c r="P275" s="5" t="n">
        <v>0.05</v>
      </c>
      <c r="Q275" s="5" t="n">
        <v>0.05</v>
      </c>
      <c r="R275" s="5" t="n">
        <v>0.3</v>
      </c>
      <c r="S275" s="5" t="n">
        <v>0.07</v>
      </c>
      <c r="T275" s="5" t="n">
        <v>8</v>
      </c>
      <c r="U275" s="5" t="n">
        <v>0</v>
      </c>
      <c r="V275" s="5" t="n">
        <v>55</v>
      </c>
      <c r="W275" s="5" t="n">
        <v>1.5</v>
      </c>
      <c r="X275" s="5" t="n">
        <v>24</v>
      </c>
      <c r="Y275" s="5" t="n">
        <v>0.3</v>
      </c>
      <c r="Z275" s="5" t="n">
        <v>322</v>
      </c>
      <c r="AA275" s="7" t="n">
        <v>8.2</v>
      </c>
    </row>
    <row r="276" customFormat="false" ht="15" hidden="false" customHeight="true" outlineLevel="0" collapsed="false">
      <c r="A276" s="4" t="s">
        <v>325</v>
      </c>
      <c r="B276" s="4" t="s">
        <v>317</v>
      </c>
      <c r="C276" s="5" t="n">
        <v>0.4</v>
      </c>
      <c r="D276" s="5"/>
      <c r="E276" s="4" t="s">
        <v>29</v>
      </c>
      <c r="F276" s="6" t="s">
        <v>317</v>
      </c>
      <c r="G276" s="5" t="n">
        <v>44</v>
      </c>
      <c r="H276" s="5" t="n">
        <v>0.6</v>
      </c>
      <c r="I276" s="5" t="n">
        <v>0.9</v>
      </c>
      <c r="J276" s="5" t="n">
        <v>10</v>
      </c>
      <c r="K276" s="5" t="n">
        <v>26</v>
      </c>
      <c r="L276" s="5" t="n">
        <v>28</v>
      </c>
      <c r="M276" s="5" t="n">
        <v>0</v>
      </c>
      <c r="N276" s="5" t="n">
        <v>0.4</v>
      </c>
      <c r="O276" s="5" t="n">
        <v>11</v>
      </c>
      <c r="P276" s="5" t="n">
        <v>0.04</v>
      </c>
      <c r="Q276" s="5" t="n">
        <v>0.03</v>
      </c>
      <c r="R276" s="5" t="n">
        <v>0.3</v>
      </c>
      <c r="S276" s="5" t="n">
        <v>0.08</v>
      </c>
      <c r="T276" s="5" t="n">
        <v>6</v>
      </c>
      <c r="U276" s="5" t="n">
        <v>0</v>
      </c>
      <c r="V276" s="5" t="n">
        <v>25</v>
      </c>
      <c r="W276" s="5" t="n">
        <v>0.3</v>
      </c>
      <c r="X276" s="5" t="n">
        <v>10</v>
      </c>
      <c r="Y276" s="5" t="n">
        <v>0.1</v>
      </c>
      <c r="Z276" s="5" t="n">
        <v>198</v>
      </c>
      <c r="AA276" s="7" t="n">
        <v>6</v>
      </c>
    </row>
    <row r="277" customFormat="false" ht="15" hidden="false" customHeight="true" outlineLevel="0" collapsed="false">
      <c r="A277" s="4" t="s">
        <v>326</v>
      </c>
      <c r="B277" s="4" t="s">
        <v>317</v>
      </c>
      <c r="C277" s="5" t="n">
        <v>0.5</v>
      </c>
      <c r="D277" s="5"/>
      <c r="E277" s="4" t="s">
        <v>29</v>
      </c>
      <c r="F277" s="6" t="s">
        <v>317</v>
      </c>
      <c r="G277" s="5" t="n">
        <v>57</v>
      </c>
      <c r="H277" s="5" t="n">
        <v>0.3</v>
      </c>
      <c r="I277" s="5" t="n">
        <v>0.7</v>
      </c>
      <c r="J277" s="5" t="n">
        <v>14.5</v>
      </c>
      <c r="K277" s="5" t="n">
        <v>3</v>
      </c>
      <c r="L277" s="5" t="n">
        <v>10</v>
      </c>
      <c r="M277" s="5" t="n">
        <v>0</v>
      </c>
      <c r="N277" s="5" t="n">
        <v>1.2</v>
      </c>
      <c r="O277" s="5" t="n">
        <v>19.3</v>
      </c>
      <c r="P277" s="5" t="n">
        <v>0.04</v>
      </c>
      <c r="Q277" s="5" t="n">
        <v>0.04</v>
      </c>
      <c r="R277" s="5" t="n">
        <v>0.4</v>
      </c>
      <c r="S277" s="5" t="n">
        <v>0.05</v>
      </c>
      <c r="T277" s="5" t="n">
        <v>6</v>
      </c>
      <c r="U277" s="5" t="n">
        <v>0</v>
      </c>
      <c r="V277" s="5" t="n">
        <v>6</v>
      </c>
      <c r="W277" s="5" t="n">
        <v>0.3</v>
      </c>
      <c r="X277" s="5" t="n">
        <v>6</v>
      </c>
      <c r="Y277" s="5" t="n">
        <v>0.2</v>
      </c>
      <c r="Z277" s="5" t="n">
        <v>77</v>
      </c>
      <c r="AA277" s="7" t="n">
        <v>9.4</v>
      </c>
    </row>
    <row r="278" customFormat="false" ht="15" hidden="false" customHeight="true" outlineLevel="0" collapsed="false">
      <c r="A278" s="4" t="s">
        <v>327</v>
      </c>
      <c r="B278" s="4" t="s">
        <v>317</v>
      </c>
      <c r="C278" s="5" t="n">
        <v>0.5</v>
      </c>
      <c r="D278" s="5"/>
      <c r="E278" s="4" t="s">
        <v>29</v>
      </c>
      <c r="F278" s="6" t="s">
        <v>317</v>
      </c>
      <c r="G278" s="5" t="n">
        <v>43</v>
      </c>
      <c r="H278" s="5" t="n">
        <v>0.5</v>
      </c>
      <c r="I278" s="5" t="n">
        <v>1.4</v>
      </c>
      <c r="J278" s="5" t="n">
        <v>10</v>
      </c>
      <c r="K278" s="5" t="n">
        <v>11</v>
      </c>
      <c r="L278" s="5" t="n">
        <v>21</v>
      </c>
      <c r="M278" s="5" t="n">
        <v>0</v>
      </c>
      <c r="N278" s="5" t="n">
        <v>1.2</v>
      </c>
      <c r="O278" s="5" t="n">
        <v>20</v>
      </c>
      <c r="P278" s="5" t="n">
        <v>0.02</v>
      </c>
      <c r="Q278" s="5" t="n">
        <v>0.03</v>
      </c>
      <c r="R278" s="5" t="n">
        <v>0.6</v>
      </c>
      <c r="S278" s="5" t="n">
        <v>0.03</v>
      </c>
      <c r="T278" s="5" t="n">
        <v>25</v>
      </c>
      <c r="U278" s="5" t="n">
        <v>0</v>
      </c>
      <c r="V278" s="5" t="n">
        <v>29</v>
      </c>
      <c r="W278" s="5" t="n">
        <v>0.6</v>
      </c>
      <c r="X278" s="5" t="n">
        <v>20</v>
      </c>
      <c r="Y278" s="5" t="n">
        <v>0.5</v>
      </c>
      <c r="Z278" s="5" t="n">
        <v>162</v>
      </c>
      <c r="AA278" s="7" t="n">
        <v>4.5</v>
      </c>
    </row>
    <row r="279" customFormat="false" ht="15" hidden="false" customHeight="true" outlineLevel="0" collapsed="false">
      <c r="A279" s="4" t="s">
        <v>328</v>
      </c>
      <c r="B279" s="4" t="s">
        <v>317</v>
      </c>
      <c r="C279" s="5" t="n">
        <v>0.5</v>
      </c>
      <c r="D279" s="5"/>
      <c r="E279" s="4" t="s">
        <v>29</v>
      </c>
      <c r="F279" s="6" t="s">
        <v>317</v>
      </c>
      <c r="G279" s="5" t="n">
        <v>52</v>
      </c>
      <c r="H279" s="5" t="n">
        <v>0.7</v>
      </c>
      <c r="I279" s="5" t="n">
        <v>1.2</v>
      </c>
      <c r="J279" s="5" t="n">
        <v>12</v>
      </c>
      <c r="K279" s="5" t="n">
        <v>2</v>
      </c>
      <c r="L279" s="5" t="n">
        <v>26</v>
      </c>
      <c r="M279" s="5" t="n">
        <v>0</v>
      </c>
      <c r="N279" s="5" t="n">
        <v>0.9</v>
      </c>
      <c r="O279" s="5" t="n">
        <v>7.8</v>
      </c>
      <c r="P279" s="5" t="n">
        <v>0.03</v>
      </c>
      <c r="Q279" s="5" t="n">
        <v>0.04</v>
      </c>
      <c r="R279" s="5" t="n">
        <v>0.6</v>
      </c>
      <c r="S279" s="5" t="n">
        <v>0.06</v>
      </c>
      <c r="T279" s="5" t="n">
        <v>21</v>
      </c>
      <c r="U279" s="5" t="n">
        <v>0</v>
      </c>
      <c r="V279" s="5" t="n">
        <v>25</v>
      </c>
      <c r="W279" s="5" t="n">
        <v>0.7</v>
      </c>
      <c r="X279" s="5" t="n">
        <v>22</v>
      </c>
      <c r="Y279" s="5" t="n">
        <v>0.4</v>
      </c>
      <c r="Z279" s="5" t="n">
        <v>151</v>
      </c>
      <c r="AA279" s="7" t="n">
        <v>5.4</v>
      </c>
    </row>
    <row r="280" customFormat="false" ht="15" hidden="false" customHeight="true" outlineLevel="0" collapsed="false">
      <c r="A280" s="4" t="s">
        <v>329</v>
      </c>
      <c r="B280" s="4" t="s">
        <v>317</v>
      </c>
      <c r="C280" s="5" t="n">
        <v>0.5</v>
      </c>
      <c r="D280" s="5"/>
      <c r="E280" s="4" t="s">
        <v>29</v>
      </c>
      <c r="F280" s="6" t="s">
        <v>317</v>
      </c>
      <c r="G280" s="5" t="n">
        <v>46</v>
      </c>
      <c r="H280" s="5" t="n">
        <v>0.1</v>
      </c>
      <c r="I280" s="5" t="n">
        <v>0.4</v>
      </c>
      <c r="J280" s="5" t="n">
        <v>12</v>
      </c>
      <c r="K280" s="5" t="n">
        <v>3</v>
      </c>
      <c r="L280" s="5" t="n">
        <v>13</v>
      </c>
      <c r="M280" s="5" t="n">
        <v>0</v>
      </c>
      <c r="N280" s="5" t="n">
        <v>1.2</v>
      </c>
      <c r="O280" s="5" t="n">
        <v>5</v>
      </c>
      <c r="P280" s="5" t="n">
        <v>0.01</v>
      </c>
      <c r="Q280" s="5" t="n">
        <v>0.02</v>
      </c>
      <c r="R280" s="5" t="n">
        <v>0.1</v>
      </c>
      <c r="S280" s="5" t="n">
        <v>0.05</v>
      </c>
      <c r="T280" s="5" t="n">
        <v>1</v>
      </c>
      <c r="U280" s="5" t="n">
        <v>0</v>
      </c>
      <c r="V280" s="5" t="n">
        <v>8</v>
      </c>
      <c r="W280" s="5" t="n">
        <v>0.3</v>
      </c>
      <c r="X280" s="5" t="n">
        <v>6</v>
      </c>
      <c r="Y280" s="5" t="n">
        <v>0.1</v>
      </c>
      <c r="Z280" s="5" t="n">
        <v>80</v>
      </c>
      <c r="AA280" s="7" t="n">
        <v>7.2</v>
      </c>
    </row>
    <row r="281" customFormat="false" ht="15" hidden="false" customHeight="true" outlineLevel="0" collapsed="false">
      <c r="A281" s="4" t="s">
        <v>330</v>
      </c>
      <c r="B281" s="4" t="s">
        <v>317</v>
      </c>
      <c r="C281" s="5" t="n">
        <v>0.6</v>
      </c>
      <c r="D281" s="5"/>
      <c r="E281" s="4" t="s">
        <v>29</v>
      </c>
      <c r="F281" s="6" t="s">
        <v>317</v>
      </c>
      <c r="G281" s="5" t="n">
        <v>46</v>
      </c>
      <c r="H281" s="5" t="n">
        <v>0.1</v>
      </c>
      <c r="I281" s="5" t="n">
        <v>0.4</v>
      </c>
      <c r="J281" s="5" t="n">
        <v>12</v>
      </c>
      <c r="K281" s="5" t="n">
        <v>3</v>
      </c>
      <c r="L281" s="5" t="n">
        <v>13</v>
      </c>
      <c r="M281" s="5" t="n">
        <v>0</v>
      </c>
      <c r="N281" s="5" t="n">
        <v>1.2</v>
      </c>
      <c r="O281" s="5" t="n">
        <v>5</v>
      </c>
      <c r="P281" s="5" t="n">
        <v>0.01</v>
      </c>
      <c r="Q281" s="5" t="n">
        <v>0.02</v>
      </c>
      <c r="R281" s="5" t="n">
        <v>0.1</v>
      </c>
      <c r="S281" s="5" t="n">
        <v>0.05</v>
      </c>
      <c r="T281" s="5" t="n">
        <v>1</v>
      </c>
      <c r="U281" s="5" t="n">
        <v>0</v>
      </c>
      <c r="V281" s="5" t="n">
        <v>8</v>
      </c>
      <c r="W281" s="5" t="n">
        <v>0.3</v>
      </c>
      <c r="X281" s="5" t="n">
        <v>6</v>
      </c>
      <c r="Y281" s="5" t="n">
        <v>0.1</v>
      </c>
      <c r="Z281" s="5" t="n">
        <v>80</v>
      </c>
      <c r="AA281" s="7" t="n">
        <v>7.2</v>
      </c>
    </row>
    <row r="282" customFormat="false" ht="15" hidden="false" customHeight="true" outlineLevel="0" collapsed="false">
      <c r="A282" s="4" t="s">
        <v>331</v>
      </c>
      <c r="B282" s="4" t="s">
        <v>317</v>
      </c>
      <c r="C282" s="5" t="n">
        <v>0.4</v>
      </c>
      <c r="D282" s="5"/>
      <c r="E282" s="4" t="s">
        <v>29</v>
      </c>
      <c r="F282" s="6" t="s">
        <v>317</v>
      </c>
      <c r="G282" s="5" t="n">
        <v>29</v>
      </c>
      <c r="H282" s="5" t="n">
        <v>0.3</v>
      </c>
      <c r="I282" s="5" t="n">
        <v>1.1</v>
      </c>
      <c r="J282" s="5" t="n">
        <v>9.3</v>
      </c>
      <c r="K282" s="5" t="n">
        <v>1</v>
      </c>
      <c r="L282" s="5" t="n">
        <v>53</v>
      </c>
      <c r="M282" s="5" t="n">
        <v>0</v>
      </c>
      <c r="N282" s="5" t="n">
        <v>0.2</v>
      </c>
      <c r="O282" s="5" t="n">
        <v>0</v>
      </c>
      <c r="P282" s="5" t="n">
        <v>0.04</v>
      </c>
      <c r="Q282" s="5" t="n">
        <v>0.02</v>
      </c>
      <c r="R282" s="5" t="n">
        <v>0.1</v>
      </c>
      <c r="S282" s="5" t="n">
        <v>0.08</v>
      </c>
      <c r="T282" s="5" t="n">
        <v>11</v>
      </c>
      <c r="U282" s="5" t="n">
        <v>0</v>
      </c>
      <c r="V282" s="5" t="n">
        <v>26</v>
      </c>
      <c r="W282" s="5" t="n">
        <v>0.6</v>
      </c>
      <c r="X282" s="5" t="n">
        <v>8</v>
      </c>
      <c r="Y282" s="5" t="n">
        <v>0.1</v>
      </c>
      <c r="Z282" s="5" t="n">
        <v>138</v>
      </c>
      <c r="AA282" s="7" t="n">
        <v>3.7</v>
      </c>
    </row>
    <row r="283" customFormat="false" ht="15" hidden="false" customHeight="true" outlineLevel="0" collapsed="false">
      <c r="A283" s="4" t="s">
        <v>332</v>
      </c>
      <c r="B283" s="4" t="s">
        <v>317</v>
      </c>
      <c r="C283" s="5" t="n">
        <v>0.4</v>
      </c>
      <c r="D283" s="5"/>
      <c r="E283" s="4" t="s">
        <v>29</v>
      </c>
      <c r="F283" s="6" t="s">
        <v>317</v>
      </c>
      <c r="G283" s="5" t="n">
        <v>30</v>
      </c>
      <c r="H283" s="5" t="n">
        <v>0.2</v>
      </c>
      <c r="I283" s="5" t="n">
        <v>0.7</v>
      </c>
      <c r="J283" s="5" t="n">
        <v>11</v>
      </c>
      <c r="K283" s="5" t="n">
        <v>2</v>
      </c>
      <c r="L283" s="5" t="n">
        <v>29</v>
      </c>
      <c r="M283" s="5" t="n">
        <v>0</v>
      </c>
      <c r="N283" s="5" t="n">
        <v>0.2</v>
      </c>
      <c r="O283" s="5" t="n">
        <v>0</v>
      </c>
      <c r="P283" s="5" t="n">
        <v>0.03</v>
      </c>
      <c r="Q283" s="5" t="n">
        <v>0.02</v>
      </c>
      <c r="R283" s="5" t="n">
        <v>0.2</v>
      </c>
      <c r="S283" s="5" t="n">
        <v>0.05</v>
      </c>
      <c r="T283" s="5" t="n">
        <v>8</v>
      </c>
      <c r="U283" s="5" t="n">
        <v>0</v>
      </c>
      <c r="V283" s="5" t="n">
        <v>33</v>
      </c>
      <c r="W283" s="5" t="n">
        <v>0.6</v>
      </c>
      <c r="X283" s="5" t="n">
        <v>6</v>
      </c>
      <c r="Y283" s="5" t="n">
        <v>0.1</v>
      </c>
      <c r="Z283" s="5" t="n">
        <v>102</v>
      </c>
      <c r="AA283" s="7" t="n">
        <v>4.4</v>
      </c>
    </row>
    <row r="284" customFormat="false" ht="15" hidden="false" customHeight="true" outlineLevel="0" collapsed="false">
      <c r="A284" s="4" t="s">
        <v>333</v>
      </c>
      <c r="B284" s="4" t="s">
        <v>317</v>
      </c>
      <c r="C284" s="5" t="n">
        <v>0.4</v>
      </c>
      <c r="D284" s="5"/>
      <c r="E284" s="4" t="s">
        <v>29</v>
      </c>
      <c r="F284" s="6" t="s">
        <v>317</v>
      </c>
      <c r="G284" s="5" t="n">
        <v>42</v>
      </c>
      <c r="H284" s="5" t="n">
        <v>0.1</v>
      </c>
      <c r="I284" s="5" t="n">
        <v>0.8</v>
      </c>
      <c r="J284" s="5" t="n">
        <v>11</v>
      </c>
      <c r="K284" s="5" t="n">
        <v>45</v>
      </c>
      <c r="L284" s="5" t="n">
        <v>33</v>
      </c>
      <c r="M284" s="5" t="n">
        <v>0</v>
      </c>
      <c r="N284" s="5" t="n">
        <v>0.1</v>
      </c>
      <c r="O284" s="5" t="n">
        <v>0</v>
      </c>
      <c r="P284" s="5" t="n">
        <v>0.04</v>
      </c>
      <c r="Q284" s="5" t="n">
        <v>0.02</v>
      </c>
      <c r="R284" s="5" t="n">
        <v>0.3</v>
      </c>
      <c r="S284" s="5" t="n">
        <v>0.04</v>
      </c>
      <c r="T284" s="5" t="n">
        <v>10</v>
      </c>
      <c r="U284" s="5" t="n">
        <v>0</v>
      </c>
      <c r="V284" s="5" t="n">
        <v>22</v>
      </c>
      <c r="W284" s="5" t="n">
        <v>0.1</v>
      </c>
      <c r="X284" s="5" t="n">
        <v>9</v>
      </c>
      <c r="Y284" s="5" t="n">
        <v>0.1</v>
      </c>
      <c r="Z284" s="5" t="n">
        <v>148</v>
      </c>
      <c r="AA284" s="7" t="n">
        <v>7.7</v>
      </c>
    </row>
    <row r="285" customFormat="false" ht="15" hidden="false" customHeight="true" outlineLevel="0" collapsed="false">
      <c r="A285" s="4" t="s">
        <v>334</v>
      </c>
      <c r="B285" s="4" t="s">
        <v>317</v>
      </c>
      <c r="C285" s="5" t="n">
        <v>0.4</v>
      </c>
      <c r="D285" s="5"/>
      <c r="E285" s="4" t="s">
        <v>29</v>
      </c>
      <c r="F285" s="6" t="s">
        <v>317</v>
      </c>
      <c r="G285" s="5" t="n">
        <v>53</v>
      </c>
      <c r="H285" s="5" t="n">
        <v>0.3</v>
      </c>
      <c r="I285" s="5" t="n">
        <v>0.8</v>
      </c>
      <c r="J285" s="5" t="n">
        <v>13</v>
      </c>
      <c r="K285" s="5" t="n">
        <v>34</v>
      </c>
      <c r="L285" s="5" t="n">
        <v>27</v>
      </c>
      <c r="M285" s="5" t="n">
        <v>0</v>
      </c>
      <c r="N285" s="5" t="n">
        <v>0.2</v>
      </c>
      <c r="O285" s="5" t="n">
        <v>0</v>
      </c>
      <c r="P285" s="5" t="n">
        <v>0.06</v>
      </c>
      <c r="Q285" s="5" t="n">
        <v>0.03</v>
      </c>
      <c r="R285" s="5" t="n">
        <v>0.4</v>
      </c>
      <c r="S285" s="5" t="n">
        <v>0.08</v>
      </c>
      <c r="T285" s="5" t="n">
        <v>16</v>
      </c>
      <c r="U285" s="5" t="n">
        <v>0</v>
      </c>
      <c r="V285" s="5" t="n">
        <v>37</v>
      </c>
      <c r="W285" s="5" t="n">
        <v>0.2</v>
      </c>
      <c r="X285" s="5" t="n">
        <v>12</v>
      </c>
      <c r="Y285" s="5" t="n">
        <v>0.1</v>
      </c>
      <c r="Z285" s="5" t="n">
        <v>166</v>
      </c>
      <c r="AA285" s="7" t="n">
        <v>10.4</v>
      </c>
    </row>
    <row r="286" customFormat="false" ht="15" hidden="false" customHeight="true" outlineLevel="0" collapsed="false">
      <c r="A286" s="4" t="s">
        <v>335</v>
      </c>
      <c r="B286" s="4" t="s">
        <v>317</v>
      </c>
      <c r="C286" s="5" t="n">
        <v>0.6</v>
      </c>
      <c r="D286" s="5"/>
      <c r="E286" s="4" t="s">
        <v>29</v>
      </c>
      <c r="F286" s="6" t="s">
        <v>317</v>
      </c>
      <c r="G286" s="5" t="n">
        <v>61</v>
      </c>
      <c r="H286" s="5" t="n">
        <v>0.5</v>
      </c>
      <c r="I286" s="5" t="n">
        <v>1.1</v>
      </c>
      <c r="J286" s="5" t="n">
        <v>15</v>
      </c>
      <c r="K286" s="5" t="n">
        <v>4</v>
      </c>
      <c r="L286" s="5" t="n">
        <v>93</v>
      </c>
      <c r="M286" s="5" t="n">
        <v>0</v>
      </c>
      <c r="N286" s="5" t="n">
        <v>1.5</v>
      </c>
      <c r="O286" s="5" t="n">
        <v>40</v>
      </c>
      <c r="P286" s="5" t="n">
        <v>0.03</v>
      </c>
      <c r="Q286" s="5" t="n">
        <v>0.05</v>
      </c>
      <c r="R286" s="5" t="n">
        <v>0.3</v>
      </c>
      <c r="S286" s="5" t="n">
        <v>0.06</v>
      </c>
      <c r="T286" s="5" t="n">
        <v>25</v>
      </c>
      <c r="U286" s="5" t="n">
        <v>0</v>
      </c>
      <c r="V286" s="5" t="n">
        <v>34</v>
      </c>
      <c r="W286" s="5" t="n">
        <v>0.3</v>
      </c>
      <c r="X286" s="5" t="n">
        <v>17</v>
      </c>
      <c r="Y286" s="5" t="n">
        <v>0.1</v>
      </c>
      <c r="Z286" s="5" t="n">
        <v>312</v>
      </c>
      <c r="AA286" s="7" t="n">
        <v>9.8</v>
      </c>
    </row>
    <row r="287" customFormat="false" ht="15" hidden="false" customHeight="true" outlineLevel="0" collapsed="false">
      <c r="A287" s="4" t="s">
        <v>336</v>
      </c>
      <c r="B287" s="4" t="s">
        <v>317</v>
      </c>
      <c r="C287" s="5" t="n">
        <v>0.9</v>
      </c>
      <c r="D287" s="5"/>
      <c r="E287" s="4" t="s">
        <v>29</v>
      </c>
      <c r="F287" s="6" t="s">
        <v>317</v>
      </c>
      <c r="G287" s="5" t="n">
        <v>60</v>
      </c>
      <c r="H287" s="5" t="n">
        <v>0.4</v>
      </c>
      <c r="I287" s="5" t="n">
        <v>0.8</v>
      </c>
      <c r="J287" s="5" t="n">
        <v>15</v>
      </c>
      <c r="K287" s="5" t="n">
        <v>54</v>
      </c>
      <c r="L287" s="5" t="n">
        <v>37</v>
      </c>
      <c r="M287" s="5" t="n">
        <v>0</v>
      </c>
      <c r="N287" s="5" t="n">
        <v>0.9</v>
      </c>
      <c r="O287" s="5" t="n">
        <v>4.2</v>
      </c>
      <c r="P287" s="5" t="n">
        <v>0.03</v>
      </c>
      <c r="Q287" s="5" t="n">
        <v>0.04</v>
      </c>
      <c r="R287" s="5" t="n">
        <v>0.7</v>
      </c>
      <c r="S287" s="5" t="n">
        <v>0.12</v>
      </c>
      <c r="T287" s="5" t="n">
        <v>43</v>
      </c>
      <c r="U287" s="5" t="n">
        <v>0</v>
      </c>
      <c r="V287" s="5" t="n">
        <v>11</v>
      </c>
      <c r="W287" s="5" t="n">
        <v>0.2</v>
      </c>
      <c r="X287" s="5" t="n">
        <v>10</v>
      </c>
      <c r="Y287" s="5" t="n">
        <v>0.1</v>
      </c>
      <c r="Z287" s="5" t="n">
        <v>168</v>
      </c>
      <c r="AA287" s="7" t="n">
        <v>12</v>
      </c>
    </row>
    <row r="288" customFormat="false" ht="15" hidden="false" customHeight="true" outlineLevel="0" collapsed="false">
      <c r="A288" s="4" t="s">
        <v>337</v>
      </c>
      <c r="B288" s="4" t="s">
        <v>317</v>
      </c>
      <c r="C288" s="5" t="n">
        <v>0.9</v>
      </c>
      <c r="D288" s="5"/>
      <c r="E288" s="4" t="s">
        <v>29</v>
      </c>
      <c r="F288" s="6" t="s">
        <v>317</v>
      </c>
      <c r="G288" s="5" t="n">
        <v>43</v>
      </c>
      <c r="H288" s="5" t="n">
        <v>0.3</v>
      </c>
      <c r="I288" s="5" t="n">
        <v>0.5</v>
      </c>
      <c r="J288" s="5" t="n">
        <v>11</v>
      </c>
      <c r="K288" s="5" t="n">
        <v>47</v>
      </c>
      <c r="L288" s="5" t="n">
        <v>62</v>
      </c>
      <c r="M288" s="5" t="n">
        <v>0</v>
      </c>
      <c r="N288" s="5" t="n">
        <v>0.3</v>
      </c>
      <c r="O288" s="5" t="n">
        <v>2.6</v>
      </c>
      <c r="P288" s="5" t="n">
        <v>0.03</v>
      </c>
      <c r="Q288" s="5" t="n">
        <v>0.03</v>
      </c>
      <c r="R288" s="5" t="n">
        <v>0.4</v>
      </c>
      <c r="S288" s="5" t="n">
        <v>0.02</v>
      </c>
      <c r="T288" s="5" t="n">
        <v>37</v>
      </c>
      <c r="U288" s="5" t="n">
        <v>0</v>
      </c>
      <c r="V288" s="5" t="n">
        <v>20</v>
      </c>
      <c r="W288" s="5" t="n">
        <v>0.3</v>
      </c>
      <c r="X288" s="5" t="n">
        <v>21</v>
      </c>
      <c r="Y288" s="5" t="n">
        <v>0.1</v>
      </c>
      <c r="Z288" s="5" t="n">
        <v>182</v>
      </c>
      <c r="AA288" s="7" t="n">
        <v>8.2</v>
      </c>
    </row>
    <row r="289" customFormat="false" ht="15" hidden="false" customHeight="true" outlineLevel="0" collapsed="false">
      <c r="A289" s="4" t="s">
        <v>338</v>
      </c>
      <c r="B289" s="4" t="s">
        <v>317</v>
      </c>
      <c r="C289" s="5" t="n">
        <v>1</v>
      </c>
      <c r="D289" s="5"/>
      <c r="E289" s="4" t="s">
        <v>29</v>
      </c>
      <c r="F289" s="6" t="s">
        <v>317</v>
      </c>
      <c r="G289" s="5" t="n">
        <v>66</v>
      </c>
      <c r="H289" s="5" t="n">
        <v>0.4</v>
      </c>
      <c r="I289" s="5" t="n">
        <v>0.8</v>
      </c>
      <c r="J289" s="5" t="n">
        <v>17</v>
      </c>
      <c r="K289" s="5" t="n">
        <v>0</v>
      </c>
      <c r="L289" s="5" t="n">
        <v>72</v>
      </c>
      <c r="M289" s="5" t="n">
        <v>0</v>
      </c>
      <c r="N289" s="5" t="n">
        <v>0.1</v>
      </c>
      <c r="O289" s="5" t="n">
        <v>0</v>
      </c>
      <c r="P289" s="5" t="n">
        <v>0.01</v>
      </c>
      <c r="Q289" s="5" t="n">
        <v>0.07</v>
      </c>
      <c r="R289" s="5" t="n">
        <v>0.6</v>
      </c>
      <c r="S289" s="5" t="n">
        <v>0.1</v>
      </c>
      <c r="T289" s="5" t="n">
        <v>14</v>
      </c>
      <c r="U289" s="5" t="n">
        <v>0</v>
      </c>
      <c r="V289" s="5" t="n">
        <v>5</v>
      </c>
      <c r="W289" s="5" t="n">
        <v>0.3</v>
      </c>
      <c r="X289" s="5" t="n">
        <v>10</v>
      </c>
      <c r="Y289" s="5" t="n">
        <v>0.1</v>
      </c>
      <c r="Z289" s="5" t="n">
        <v>171</v>
      </c>
      <c r="AA289" s="7" t="n">
        <v>14.4</v>
      </c>
    </row>
    <row r="290" customFormat="false" ht="15" hidden="false" customHeight="true" outlineLevel="0" collapsed="false">
      <c r="A290" s="4" t="s">
        <v>339</v>
      </c>
      <c r="B290" s="4" t="s">
        <v>317</v>
      </c>
      <c r="C290" s="5" t="n">
        <v>0.8</v>
      </c>
      <c r="D290" s="5"/>
      <c r="E290" s="4" t="s">
        <v>29</v>
      </c>
      <c r="F290" s="6" t="s">
        <v>317</v>
      </c>
      <c r="G290" s="5" t="n">
        <v>83</v>
      </c>
      <c r="H290" s="5" t="n">
        <v>1.2</v>
      </c>
      <c r="I290" s="5" t="n">
        <v>1.7</v>
      </c>
      <c r="J290" s="5" t="n">
        <v>19</v>
      </c>
      <c r="K290" s="5" t="n">
        <v>0</v>
      </c>
      <c r="L290" s="5" t="n">
        <v>10</v>
      </c>
      <c r="M290" s="5" t="n">
        <v>0</v>
      </c>
      <c r="N290" s="5" t="n">
        <v>0.6</v>
      </c>
      <c r="O290" s="5" t="n">
        <v>16</v>
      </c>
      <c r="P290" s="5" t="n">
        <v>0.07</v>
      </c>
      <c r="Q290" s="5" t="n">
        <v>0.05</v>
      </c>
      <c r="R290" s="5" t="n">
        <v>0.3</v>
      </c>
      <c r="S290" s="5" t="n">
        <v>0.08</v>
      </c>
      <c r="T290" s="5" t="n">
        <v>38</v>
      </c>
      <c r="U290" s="5" t="n">
        <v>0</v>
      </c>
      <c r="V290" s="5" t="n">
        <v>10</v>
      </c>
      <c r="W290" s="5" t="n">
        <v>0.3</v>
      </c>
      <c r="X290" s="5" t="n">
        <v>12</v>
      </c>
      <c r="Y290" s="5" t="n">
        <v>0.4</v>
      </c>
      <c r="Z290" s="5" t="n">
        <v>236</v>
      </c>
      <c r="AA290" s="7" t="n">
        <v>15.2</v>
      </c>
    </row>
    <row r="291" customFormat="false" ht="15" hidden="false" customHeight="true" outlineLevel="0" collapsed="false">
      <c r="A291" s="4" t="s">
        <v>340</v>
      </c>
      <c r="B291" s="4" t="s">
        <v>317</v>
      </c>
      <c r="C291" s="5" t="n">
        <v>0.6</v>
      </c>
      <c r="D291" s="5"/>
      <c r="E291" s="4" t="s">
        <v>29</v>
      </c>
      <c r="F291" s="6" t="s">
        <v>317</v>
      </c>
      <c r="G291" s="5" t="n">
        <v>74</v>
      </c>
      <c r="H291" s="5" t="n">
        <v>0.3</v>
      </c>
      <c r="I291" s="5" t="n">
        <v>0.8</v>
      </c>
      <c r="J291" s="5" t="n">
        <v>19</v>
      </c>
      <c r="K291" s="5" t="n">
        <v>7</v>
      </c>
      <c r="L291" s="5" t="n">
        <v>2</v>
      </c>
      <c r="M291" s="5" t="n">
        <v>0</v>
      </c>
      <c r="N291" s="5" t="n">
        <v>0.1</v>
      </c>
      <c r="O291" s="5" t="n">
        <v>4.7</v>
      </c>
      <c r="P291" s="5" t="n">
        <v>0.06</v>
      </c>
      <c r="Q291" s="5" t="n">
        <v>0.05</v>
      </c>
      <c r="R291" s="5" t="n">
        <v>0.4</v>
      </c>
      <c r="S291" s="5" t="n">
        <v>0.11</v>
      </c>
      <c r="T291" s="5" t="n">
        <v>6</v>
      </c>
      <c r="U291" s="5" t="n">
        <v>0</v>
      </c>
      <c r="V291" s="5" t="n">
        <v>35</v>
      </c>
      <c r="W291" s="5" t="n">
        <v>0.4</v>
      </c>
      <c r="X291" s="5" t="n">
        <v>17</v>
      </c>
      <c r="Y291" s="5" t="n">
        <v>0.2</v>
      </c>
      <c r="Z291" s="5" t="n">
        <v>232</v>
      </c>
      <c r="AA291" s="7" t="n">
        <v>14.2</v>
      </c>
    </row>
    <row r="292" customFormat="false" ht="15" hidden="false" customHeight="true" outlineLevel="0" collapsed="false">
      <c r="A292" s="4" t="s">
        <v>341</v>
      </c>
      <c r="B292" s="4" t="s">
        <v>317</v>
      </c>
      <c r="C292" s="5" t="n">
        <v>0.6</v>
      </c>
      <c r="D292" s="5"/>
      <c r="E292" s="4" t="s">
        <v>29</v>
      </c>
      <c r="F292" s="6" t="s">
        <v>317</v>
      </c>
      <c r="G292" s="5" t="n">
        <v>70</v>
      </c>
      <c r="H292" s="5" t="n">
        <v>0.2</v>
      </c>
      <c r="I292" s="5" t="n">
        <v>0.6</v>
      </c>
      <c r="J292" s="5" t="n">
        <v>18.6</v>
      </c>
      <c r="K292" s="5" t="n">
        <v>81</v>
      </c>
      <c r="L292" s="5" t="n">
        <v>7.5</v>
      </c>
      <c r="M292" s="5" t="n">
        <v>0</v>
      </c>
      <c r="N292" s="5" t="n">
        <v>0.7</v>
      </c>
      <c r="O292" s="5" t="n">
        <v>2.6</v>
      </c>
      <c r="P292" s="5" t="n">
        <v>0.03</v>
      </c>
      <c r="Q292" s="5" t="n">
        <v>0.02</v>
      </c>
      <c r="R292" s="5" t="n">
        <v>0.2</v>
      </c>
      <c r="S292" s="5" t="n">
        <v>0.1</v>
      </c>
      <c r="T292" s="5" t="n">
        <v>8</v>
      </c>
      <c r="U292" s="5" t="n">
        <v>0</v>
      </c>
      <c r="V292" s="5" t="n">
        <v>8</v>
      </c>
      <c r="W292" s="5" t="n">
        <v>0.2</v>
      </c>
      <c r="X292" s="5" t="n">
        <v>9</v>
      </c>
      <c r="Y292" s="5" t="n">
        <v>0.1</v>
      </c>
      <c r="Z292" s="5" t="n">
        <v>161</v>
      </c>
      <c r="AA292" s="7" t="n">
        <v>14</v>
      </c>
    </row>
    <row r="293" customFormat="false" ht="15" hidden="false" customHeight="true" outlineLevel="0" collapsed="false">
      <c r="A293" s="4" t="s">
        <v>342</v>
      </c>
      <c r="B293" s="4" t="s">
        <v>317</v>
      </c>
      <c r="C293" s="5" t="n">
        <v>1</v>
      </c>
      <c r="D293" s="5"/>
      <c r="E293" s="4" t="s">
        <v>29</v>
      </c>
      <c r="F293" s="6" t="s">
        <v>317</v>
      </c>
      <c r="G293" s="5" t="n">
        <v>97</v>
      </c>
      <c r="H293" s="5" t="n">
        <v>0.7</v>
      </c>
      <c r="I293" s="5" t="n">
        <v>2.2</v>
      </c>
      <c r="J293" s="5" t="n">
        <v>23</v>
      </c>
      <c r="K293" s="5" t="n">
        <v>64</v>
      </c>
      <c r="L293" s="5" t="n">
        <v>30</v>
      </c>
      <c r="M293" s="5" t="n">
        <v>0</v>
      </c>
      <c r="N293" s="5" t="n">
        <v>0.02</v>
      </c>
      <c r="O293" s="5" t="n">
        <v>0.7</v>
      </c>
      <c r="P293" s="5" t="n">
        <v>0</v>
      </c>
      <c r="Q293" s="5" t="n">
        <v>0.13</v>
      </c>
      <c r="R293" s="5" t="n">
        <v>1.5</v>
      </c>
      <c r="S293" s="5" t="n">
        <v>0.1</v>
      </c>
      <c r="T293" s="5" t="n">
        <v>14</v>
      </c>
      <c r="U293" s="5" t="n">
        <v>0</v>
      </c>
      <c r="V293" s="5" t="n">
        <v>12</v>
      </c>
      <c r="W293" s="5" t="n">
        <v>1.6</v>
      </c>
      <c r="X293" s="5" t="n">
        <v>29</v>
      </c>
      <c r="Y293" s="5" t="n">
        <v>0.1</v>
      </c>
      <c r="Z293" s="5" t="n">
        <v>348</v>
      </c>
      <c r="AA293" s="7" t="n">
        <v>12.7</v>
      </c>
    </row>
    <row r="294" customFormat="false" ht="15" hidden="false" customHeight="true" outlineLevel="0" collapsed="false">
      <c r="A294" s="4" t="s">
        <v>343</v>
      </c>
      <c r="B294" s="4" t="s">
        <v>317</v>
      </c>
      <c r="C294" s="5" t="n">
        <v>0.9</v>
      </c>
      <c r="D294" s="5"/>
      <c r="E294" s="4" t="s">
        <v>29</v>
      </c>
      <c r="F294" s="6" t="s">
        <v>317</v>
      </c>
      <c r="G294" s="5" t="n">
        <v>53</v>
      </c>
      <c r="H294" s="5" t="n">
        <v>0.7</v>
      </c>
      <c r="I294" s="5" t="n">
        <v>1.9</v>
      </c>
      <c r="J294" s="5" t="n">
        <v>11</v>
      </c>
      <c r="K294" s="5" t="n">
        <v>36</v>
      </c>
      <c r="L294" s="5" t="n">
        <v>11</v>
      </c>
      <c r="M294" s="5" t="n">
        <v>0</v>
      </c>
      <c r="N294" s="5" t="n">
        <v>0</v>
      </c>
      <c r="O294" s="5" t="n">
        <v>0</v>
      </c>
      <c r="P294" s="5" t="n">
        <v>0.1</v>
      </c>
      <c r="Q294" s="5" t="n">
        <v>0.04</v>
      </c>
      <c r="R294" s="5" t="n">
        <v>2.7</v>
      </c>
      <c r="S294" s="5" t="n">
        <v>0.06</v>
      </c>
      <c r="T294" s="5" t="n">
        <v>8</v>
      </c>
      <c r="U294" s="5" t="n">
        <v>0</v>
      </c>
      <c r="V294" s="5" t="n">
        <v>9</v>
      </c>
      <c r="W294" s="5" t="n">
        <v>1</v>
      </c>
      <c r="X294" s="5" t="n">
        <v>19</v>
      </c>
      <c r="Y294" s="5" t="n">
        <v>0.2</v>
      </c>
      <c r="Z294" s="5" t="n">
        <v>199</v>
      </c>
      <c r="AA294" s="7" t="n">
        <v>6.6</v>
      </c>
    </row>
    <row r="295" customFormat="false" ht="15" hidden="false" customHeight="true" outlineLevel="0" collapsed="false">
      <c r="A295" s="4" t="s">
        <v>344</v>
      </c>
      <c r="B295" s="4" t="s">
        <v>317</v>
      </c>
      <c r="C295" s="5" t="n">
        <v>1.6</v>
      </c>
      <c r="D295" s="5"/>
      <c r="E295" s="4" t="s">
        <v>29</v>
      </c>
      <c r="F295" s="6" t="s">
        <v>317</v>
      </c>
      <c r="G295" s="5" t="n">
        <v>299</v>
      </c>
      <c r="H295" s="5" t="n">
        <v>0.5</v>
      </c>
      <c r="I295" s="5" t="n">
        <v>3.1</v>
      </c>
      <c r="J295" s="5" t="n">
        <v>79</v>
      </c>
      <c r="K295" s="5" t="n">
        <v>0</v>
      </c>
      <c r="L295" s="5" t="n">
        <v>2.3</v>
      </c>
      <c r="M295" s="5" t="n">
        <v>0</v>
      </c>
      <c r="N295" s="5" t="n">
        <v>0.1</v>
      </c>
      <c r="O295" s="5" t="n">
        <v>3.5</v>
      </c>
      <c r="P295" s="5" t="n">
        <v>0.11</v>
      </c>
      <c r="Q295" s="5" t="n">
        <v>0.08</v>
      </c>
      <c r="R295" s="5" t="n">
        <v>0.8</v>
      </c>
      <c r="S295" s="5" t="n">
        <v>0.17</v>
      </c>
      <c r="T295" s="5" t="n">
        <v>5</v>
      </c>
      <c r="U295" s="5" t="n">
        <v>0</v>
      </c>
      <c r="V295" s="5" t="n">
        <v>50</v>
      </c>
      <c r="W295" s="5" t="n">
        <v>1.9</v>
      </c>
      <c r="X295" s="5" t="n">
        <v>32</v>
      </c>
      <c r="Y295" s="5" t="n">
        <v>0.2</v>
      </c>
      <c r="Z295" s="5" t="n">
        <v>749</v>
      </c>
      <c r="AA295" s="7" t="n">
        <v>71.1</v>
      </c>
    </row>
    <row r="296" customFormat="false" ht="15" hidden="false" customHeight="true" outlineLevel="0" collapsed="false">
      <c r="A296" s="4" t="s">
        <v>345</v>
      </c>
      <c r="B296" s="4" t="s">
        <v>317</v>
      </c>
      <c r="C296" s="5" t="n">
        <v>1.8</v>
      </c>
      <c r="D296" s="5"/>
      <c r="E296" s="4" t="s">
        <v>29</v>
      </c>
      <c r="F296" s="6" t="s">
        <v>317</v>
      </c>
      <c r="G296" s="5" t="n">
        <v>241</v>
      </c>
      <c r="H296" s="5" t="n">
        <v>0.5</v>
      </c>
      <c r="I296" s="5" t="n">
        <v>3.4</v>
      </c>
      <c r="J296" s="5" t="n">
        <v>63</v>
      </c>
      <c r="K296" s="5" t="n">
        <v>180</v>
      </c>
      <c r="L296" s="5" t="n">
        <v>1</v>
      </c>
      <c r="M296" s="5" t="n">
        <v>0</v>
      </c>
      <c r="N296" s="5" t="n">
        <v>4.3</v>
      </c>
      <c r="O296" s="5" t="n">
        <v>3.1</v>
      </c>
      <c r="P296" s="5" t="n">
        <v>0</v>
      </c>
      <c r="Q296" s="5" t="n">
        <v>0.07</v>
      </c>
      <c r="R296" s="5" t="n">
        <v>3</v>
      </c>
      <c r="S296" s="5" t="n">
        <v>0.14</v>
      </c>
      <c r="T296" s="5" t="n">
        <v>10</v>
      </c>
      <c r="U296" s="5" t="n">
        <v>0</v>
      </c>
      <c r="V296" s="5" t="n">
        <v>55</v>
      </c>
      <c r="W296" s="5" t="n">
        <v>2.7</v>
      </c>
      <c r="X296" s="5" t="n">
        <v>32</v>
      </c>
      <c r="Y296" s="5" t="n">
        <v>0.4</v>
      </c>
      <c r="Z296" s="5" t="n">
        <v>1160</v>
      </c>
      <c r="AA296" s="7" t="n">
        <v>44.1</v>
      </c>
    </row>
    <row r="297" customFormat="false" ht="15" hidden="false" customHeight="true" outlineLevel="0" collapsed="false">
      <c r="A297" s="4" t="s">
        <v>346</v>
      </c>
      <c r="B297" s="4" t="s">
        <v>317</v>
      </c>
      <c r="C297" s="5" t="n">
        <v>1.8</v>
      </c>
      <c r="D297" s="5"/>
      <c r="E297" s="4" t="s">
        <v>29</v>
      </c>
      <c r="F297" s="6" t="s">
        <v>317</v>
      </c>
      <c r="G297" s="5" t="n">
        <v>277</v>
      </c>
      <c r="H297" s="5" t="n">
        <v>0.4</v>
      </c>
      <c r="I297" s="5" t="n">
        <v>1.8</v>
      </c>
      <c r="J297" s="5" t="n">
        <v>75</v>
      </c>
      <c r="K297" s="5" t="n">
        <v>0</v>
      </c>
      <c r="L297" s="5" t="n">
        <v>0</v>
      </c>
      <c r="M297" s="5" t="n">
        <v>0</v>
      </c>
      <c r="N297" s="5" t="n">
        <v>0.1</v>
      </c>
      <c r="O297" s="5" t="n">
        <v>2.7</v>
      </c>
      <c r="P297" s="5" t="n">
        <v>0.05</v>
      </c>
      <c r="Q297" s="5" t="n">
        <v>0.06</v>
      </c>
      <c r="R297" s="5" t="n">
        <v>1.3</v>
      </c>
      <c r="S297" s="5" t="n">
        <v>0.15</v>
      </c>
      <c r="T297" s="5" t="n">
        <v>15</v>
      </c>
      <c r="U297" s="5" t="n">
        <v>0</v>
      </c>
      <c r="V297" s="5" t="n">
        <v>39</v>
      </c>
      <c r="W297" s="5" t="n">
        <v>1</v>
      </c>
      <c r="X297" s="5" t="n">
        <v>43</v>
      </c>
      <c r="Y297" s="5" t="n">
        <v>0.4</v>
      </c>
      <c r="Z297" s="5" t="n">
        <v>656</v>
      </c>
      <c r="AA297" s="7" t="n">
        <v>52.5</v>
      </c>
    </row>
    <row r="298" customFormat="false" ht="15" hidden="false" customHeight="true" outlineLevel="0" collapsed="false">
      <c r="A298" s="4" t="s">
        <v>347</v>
      </c>
      <c r="B298" s="4" t="s">
        <v>317</v>
      </c>
      <c r="C298" s="5" t="n">
        <v>1.8</v>
      </c>
      <c r="D298" s="5"/>
      <c r="E298" s="4" t="s">
        <v>29</v>
      </c>
      <c r="F298" s="6" t="s">
        <v>317</v>
      </c>
      <c r="G298" s="5" t="n">
        <v>249</v>
      </c>
      <c r="H298" s="5" t="n">
        <v>0.9</v>
      </c>
      <c r="I298" s="5" t="n">
        <v>3.3</v>
      </c>
      <c r="J298" s="5" t="n">
        <v>64</v>
      </c>
      <c r="K298" s="5" t="n">
        <v>0</v>
      </c>
      <c r="L298" s="5" t="n">
        <v>1</v>
      </c>
      <c r="M298" s="5" t="n">
        <v>0</v>
      </c>
      <c r="N298" s="5" t="n">
        <v>0.4</v>
      </c>
      <c r="O298" s="5" t="n">
        <v>15.6</v>
      </c>
      <c r="P298" s="5" t="n">
        <v>0.07</v>
      </c>
      <c r="Q298" s="5" t="n">
        <v>0.09</v>
      </c>
      <c r="R298" s="5" t="n">
        <v>0.6</v>
      </c>
      <c r="S298" s="5" t="n">
        <v>0.11</v>
      </c>
      <c r="T298" s="5" t="n">
        <v>10</v>
      </c>
      <c r="U298" s="5" t="n">
        <v>0</v>
      </c>
      <c r="V298" s="5" t="n">
        <v>162</v>
      </c>
      <c r="W298" s="5" t="n">
        <v>2</v>
      </c>
      <c r="X298" s="5" t="n">
        <v>68</v>
      </c>
      <c r="Y298" s="5" t="n">
        <v>0.6</v>
      </c>
      <c r="Z298" s="5" t="n">
        <v>680</v>
      </c>
      <c r="AA298" s="7" t="n">
        <v>44.8</v>
      </c>
    </row>
    <row r="299" customFormat="false" ht="15" hidden="false" customHeight="true" outlineLevel="0" collapsed="false">
      <c r="A299" s="4" t="s">
        <v>348</v>
      </c>
      <c r="B299" s="4" t="s">
        <v>317</v>
      </c>
      <c r="C299" s="5" t="n">
        <v>1.6</v>
      </c>
      <c r="D299" s="5"/>
      <c r="E299" s="4" t="s">
        <v>29</v>
      </c>
      <c r="F299" s="6" t="s">
        <v>317</v>
      </c>
      <c r="G299" s="5" t="n">
        <v>240</v>
      </c>
      <c r="H299" s="5" t="n">
        <v>0.4</v>
      </c>
      <c r="I299" s="5" t="n">
        <v>2.2</v>
      </c>
      <c r="J299" s="5" t="n">
        <v>64</v>
      </c>
      <c r="K299" s="5" t="n">
        <v>39</v>
      </c>
      <c r="L299" s="5" t="n">
        <v>0.6</v>
      </c>
      <c r="M299" s="5" t="n">
        <v>0</v>
      </c>
      <c r="N299" s="5" t="n">
        <v>0.4</v>
      </c>
      <c r="O299" s="5" t="n">
        <v>60</v>
      </c>
      <c r="P299" s="5" t="n">
        <v>0.05</v>
      </c>
      <c r="Q299" s="5" t="n">
        <v>0.19</v>
      </c>
      <c r="R299" s="5" t="n">
        <v>1.9</v>
      </c>
      <c r="S299" s="5" t="n">
        <v>0.21</v>
      </c>
      <c r="T299" s="5" t="n">
        <v>4</v>
      </c>
      <c r="U299" s="5" t="n">
        <v>0</v>
      </c>
      <c r="V299" s="5" t="n">
        <v>43</v>
      </c>
      <c r="W299" s="5" t="n">
        <v>0.9</v>
      </c>
      <c r="X299" s="5" t="n">
        <v>41</v>
      </c>
      <c r="Y299" s="5" t="n">
        <v>0.4</v>
      </c>
      <c r="Z299" s="5" t="n">
        <v>732</v>
      </c>
      <c r="AA299" s="7" t="n">
        <v>44.8</v>
      </c>
    </row>
    <row r="300" customFormat="false" ht="26.25" hidden="false" customHeight="true" outlineLevel="0" collapsed="false">
      <c r="A300" s="4" t="s">
        <v>349</v>
      </c>
      <c r="B300" s="4" t="s">
        <v>350</v>
      </c>
      <c r="C300" s="5" t="n">
        <v>1.2</v>
      </c>
      <c r="D300" s="5"/>
      <c r="E300" s="4" t="s">
        <v>29</v>
      </c>
      <c r="F300" s="6" t="s">
        <v>350</v>
      </c>
      <c r="G300" s="5" t="n">
        <v>158</v>
      </c>
      <c r="H300" s="5" t="n">
        <v>9</v>
      </c>
      <c r="I300" s="5" t="n">
        <v>18</v>
      </c>
      <c r="J300" s="5" t="n">
        <v>0</v>
      </c>
      <c r="K300" s="5" t="n">
        <v>40</v>
      </c>
      <c r="L300" s="5" t="n">
        <v>0</v>
      </c>
      <c r="M300" s="5" t="n">
        <v>20</v>
      </c>
      <c r="N300" s="5" t="n">
        <v>1.2</v>
      </c>
      <c r="O300" s="5" t="n">
        <v>0.1</v>
      </c>
      <c r="P300" s="5" t="n">
        <v>0.04</v>
      </c>
      <c r="Q300" s="5" t="n">
        <v>0.23</v>
      </c>
      <c r="R300" s="5" t="n">
        <v>3.7</v>
      </c>
      <c r="S300" s="5" t="n">
        <v>0.3</v>
      </c>
      <c r="T300" s="5" t="n">
        <v>10</v>
      </c>
      <c r="U300" s="5" t="n">
        <v>10</v>
      </c>
      <c r="V300" s="5" t="n">
        <v>60</v>
      </c>
      <c r="W300" s="5" t="n">
        <v>1.1</v>
      </c>
      <c r="X300" s="5" t="n">
        <v>32</v>
      </c>
      <c r="Y300" s="5" t="n">
        <v>1</v>
      </c>
      <c r="Z300" s="5" t="n">
        <v>350</v>
      </c>
      <c r="AA300" s="7" t="n">
        <v>0</v>
      </c>
    </row>
    <row r="301" customFormat="false" ht="26.25" hidden="false" customHeight="true" outlineLevel="0" collapsed="false">
      <c r="A301" s="4" t="s">
        <v>351</v>
      </c>
      <c r="B301" s="4" t="s">
        <v>350</v>
      </c>
      <c r="C301" s="5" t="n">
        <v>1.5</v>
      </c>
      <c r="D301" s="5"/>
      <c r="E301" s="4" t="s">
        <v>29</v>
      </c>
      <c r="F301" s="6" t="s">
        <v>350</v>
      </c>
      <c r="G301" s="5" t="n">
        <v>205</v>
      </c>
      <c r="H301" s="5" t="n">
        <v>14</v>
      </c>
      <c r="I301" s="5" t="n">
        <v>19</v>
      </c>
      <c r="J301" s="5" t="n">
        <v>0</v>
      </c>
      <c r="K301" s="5" t="n">
        <v>45</v>
      </c>
      <c r="L301" s="5" t="n">
        <v>0</v>
      </c>
      <c r="M301" s="5" t="n">
        <v>16</v>
      </c>
      <c r="N301" s="5" t="n">
        <v>1.5</v>
      </c>
      <c r="O301" s="5" t="n">
        <v>0.1</v>
      </c>
      <c r="P301" s="5" t="n">
        <v>0.18</v>
      </c>
      <c r="Q301" s="5" t="n">
        <v>0.35</v>
      </c>
      <c r="R301" s="5" t="n">
        <v>9.1</v>
      </c>
      <c r="S301" s="5" t="n">
        <v>0.4</v>
      </c>
      <c r="T301" s="5" t="n">
        <v>1</v>
      </c>
      <c r="U301" s="5" t="n">
        <v>8.7</v>
      </c>
      <c r="V301" s="5" t="n">
        <v>12</v>
      </c>
      <c r="W301" s="5" t="n">
        <v>1.6</v>
      </c>
      <c r="X301" s="5" t="n">
        <v>76</v>
      </c>
      <c r="Y301" s="5" t="n">
        <v>0.6</v>
      </c>
      <c r="Z301" s="5" t="n">
        <v>314</v>
      </c>
      <c r="AA301" s="7" t="n">
        <v>0</v>
      </c>
    </row>
    <row r="302" customFormat="false" ht="26.25" hidden="false" customHeight="true" outlineLevel="0" collapsed="false">
      <c r="A302" s="4" t="s">
        <v>352</v>
      </c>
      <c r="B302" s="4" t="s">
        <v>350</v>
      </c>
      <c r="C302" s="5" t="n">
        <v>1.3</v>
      </c>
      <c r="D302" s="5"/>
      <c r="E302" s="4" t="s">
        <v>29</v>
      </c>
      <c r="F302" s="6" t="s">
        <v>350</v>
      </c>
      <c r="G302" s="5" t="n">
        <v>208</v>
      </c>
      <c r="H302" s="5" t="n">
        <v>11</v>
      </c>
      <c r="I302" s="5" t="n">
        <v>25</v>
      </c>
      <c r="J302" s="5" t="n">
        <v>0</v>
      </c>
      <c r="K302" s="5" t="n">
        <v>32</v>
      </c>
      <c r="L302" s="5" t="n">
        <v>0</v>
      </c>
      <c r="M302" s="5" t="n">
        <v>4.8</v>
      </c>
      <c r="N302" s="5" t="n">
        <v>2</v>
      </c>
      <c r="O302" s="5" t="n">
        <v>0.1</v>
      </c>
      <c r="P302" s="5" t="n">
        <v>0.02</v>
      </c>
      <c r="Q302" s="5" t="n">
        <v>0.23</v>
      </c>
      <c r="R302" s="5" t="n">
        <v>5.2</v>
      </c>
      <c r="S302" s="5" t="n">
        <v>0.19</v>
      </c>
      <c r="T302" s="5" t="n">
        <v>11</v>
      </c>
      <c r="U302" s="5" t="n">
        <v>8.9</v>
      </c>
      <c r="V302" s="5" t="n">
        <v>382</v>
      </c>
      <c r="W302" s="5" t="n">
        <v>2.9</v>
      </c>
      <c r="X302" s="5" t="n">
        <v>39</v>
      </c>
      <c r="Y302" s="5" t="n">
        <v>1.4</v>
      </c>
      <c r="Z302" s="5" t="n">
        <v>397</v>
      </c>
      <c r="AA302" s="7" t="n">
        <v>0</v>
      </c>
    </row>
    <row r="303" customFormat="false" ht="26.25" hidden="false" customHeight="true" outlineLevel="0" collapsed="false">
      <c r="A303" s="4" t="s">
        <v>353</v>
      </c>
      <c r="B303" s="4" t="s">
        <v>350</v>
      </c>
      <c r="C303" s="5" t="n">
        <v>1.5</v>
      </c>
      <c r="D303" s="5"/>
      <c r="E303" s="4" t="s">
        <v>29</v>
      </c>
      <c r="F303" s="6" t="s">
        <v>350</v>
      </c>
      <c r="G303" s="5" t="n">
        <v>131</v>
      </c>
      <c r="H303" s="5" t="n">
        <v>4.8</v>
      </c>
      <c r="I303" s="5" t="n">
        <v>20</v>
      </c>
      <c r="J303" s="5" t="n">
        <v>0</v>
      </c>
      <c r="K303" s="5" t="n">
        <v>15</v>
      </c>
      <c r="L303" s="5" t="n">
        <v>0</v>
      </c>
      <c r="M303" s="5" t="n">
        <v>6.7</v>
      </c>
      <c r="N303" s="5" t="n">
        <v>0.7</v>
      </c>
      <c r="O303" s="5" t="n">
        <v>0.1</v>
      </c>
      <c r="P303" s="5" t="n">
        <v>0.03</v>
      </c>
      <c r="Q303" s="5" t="n">
        <v>0.26</v>
      </c>
      <c r="R303" s="5" t="n">
        <v>14</v>
      </c>
      <c r="S303" s="5" t="n">
        <v>0.16</v>
      </c>
      <c r="T303" s="5" t="n">
        <v>10</v>
      </c>
      <c r="U303" s="5" t="n">
        <v>0.4</v>
      </c>
      <c r="V303" s="5" t="n">
        <v>147</v>
      </c>
      <c r="W303" s="5" t="n">
        <v>3.3</v>
      </c>
      <c r="X303" s="5" t="n">
        <v>41</v>
      </c>
      <c r="Y303" s="5" t="n">
        <v>1.5</v>
      </c>
      <c r="Z303" s="5" t="n">
        <v>383</v>
      </c>
      <c r="AA303" s="7" t="n">
        <v>0</v>
      </c>
    </row>
    <row r="304" customFormat="false" ht="26.25" hidden="false" customHeight="true" outlineLevel="0" collapsed="false">
      <c r="A304" s="4" t="s">
        <v>354</v>
      </c>
      <c r="B304" s="4" t="s">
        <v>350</v>
      </c>
      <c r="C304" s="5" t="n">
        <v>2.5</v>
      </c>
      <c r="D304" s="5"/>
      <c r="E304" s="4" t="s">
        <v>29</v>
      </c>
      <c r="F304" s="6" t="s">
        <v>350</v>
      </c>
      <c r="G304" s="5" t="n">
        <v>82</v>
      </c>
      <c r="H304" s="5" t="n">
        <v>0.7</v>
      </c>
      <c r="I304" s="5" t="n">
        <v>18</v>
      </c>
      <c r="J304" s="5" t="n">
        <v>0</v>
      </c>
      <c r="K304" s="5" t="n">
        <v>12</v>
      </c>
      <c r="L304" s="5" t="n">
        <v>1</v>
      </c>
      <c r="M304" s="5" t="n">
        <v>1</v>
      </c>
      <c r="N304" s="5" t="n">
        <v>0.6</v>
      </c>
      <c r="O304" s="5" t="n">
        <v>0.1</v>
      </c>
      <c r="P304" s="5" t="n">
        <v>0.08</v>
      </c>
      <c r="Q304" s="5" t="n">
        <v>0.06</v>
      </c>
      <c r="R304" s="5" t="n">
        <v>2.1</v>
      </c>
      <c r="S304" s="5" t="n">
        <v>0.2</v>
      </c>
      <c r="T304" s="5" t="n">
        <v>7</v>
      </c>
      <c r="U304" s="5" t="n">
        <v>0.9</v>
      </c>
      <c r="V304" s="5" t="n">
        <v>16</v>
      </c>
      <c r="W304" s="5" t="n">
        <v>0.4</v>
      </c>
      <c r="X304" s="5" t="n">
        <v>32</v>
      </c>
      <c r="Y304" s="5" t="n">
        <v>0.5</v>
      </c>
      <c r="Z304" s="5" t="n">
        <v>413</v>
      </c>
      <c r="AA304" s="7" t="n">
        <v>0</v>
      </c>
    </row>
    <row r="305" customFormat="false" ht="26.25" hidden="false" customHeight="true" outlineLevel="0" collapsed="false">
      <c r="A305" s="4" t="s">
        <v>355</v>
      </c>
      <c r="B305" s="4" t="s">
        <v>350</v>
      </c>
      <c r="C305" s="5" t="n">
        <v>2.2</v>
      </c>
      <c r="D305" s="5"/>
      <c r="E305" s="4" t="s">
        <v>29</v>
      </c>
      <c r="F305" s="6" t="s">
        <v>350</v>
      </c>
      <c r="G305" s="5" t="n">
        <v>90</v>
      </c>
      <c r="H305" s="5" t="n">
        <v>0.9</v>
      </c>
      <c r="I305" s="5" t="n">
        <v>19</v>
      </c>
      <c r="J305" s="5" t="n">
        <v>0</v>
      </c>
      <c r="K305" s="5" t="n">
        <v>15</v>
      </c>
      <c r="L305" s="5" t="n">
        <v>0</v>
      </c>
      <c r="M305" s="5" t="n">
        <v>3.3</v>
      </c>
      <c r="N305" s="5" t="n">
        <v>0.5</v>
      </c>
      <c r="O305" s="5" t="n">
        <v>0.1</v>
      </c>
      <c r="P305" s="5" t="n">
        <v>0.1</v>
      </c>
      <c r="Q305" s="5" t="n">
        <v>0.1</v>
      </c>
      <c r="R305" s="5" t="n">
        <v>2.5</v>
      </c>
      <c r="S305" s="5" t="n">
        <v>0.3</v>
      </c>
      <c r="T305" s="5" t="n">
        <v>6</v>
      </c>
      <c r="U305" s="5" t="n">
        <v>3.5</v>
      </c>
      <c r="V305" s="5" t="n">
        <v>60</v>
      </c>
      <c r="W305" s="5" t="n">
        <v>0.4</v>
      </c>
      <c r="X305" s="5" t="n">
        <v>65</v>
      </c>
      <c r="Y305" s="5" t="n">
        <v>0.5</v>
      </c>
      <c r="Z305" s="5" t="n">
        <v>380</v>
      </c>
      <c r="AA305" s="7" t="n">
        <v>0</v>
      </c>
    </row>
    <row r="306" customFormat="false" ht="26.25" hidden="false" customHeight="true" outlineLevel="0" collapsed="false">
      <c r="A306" s="4" t="s">
        <v>356</v>
      </c>
      <c r="B306" s="4" t="s">
        <v>350</v>
      </c>
      <c r="C306" s="5" t="n">
        <v>2.5</v>
      </c>
      <c r="D306" s="5"/>
      <c r="E306" s="4" t="s">
        <v>29</v>
      </c>
      <c r="F306" s="6" t="s">
        <v>350</v>
      </c>
      <c r="G306" s="5" t="n">
        <v>91</v>
      </c>
      <c r="H306" s="5" t="n">
        <v>1.2</v>
      </c>
      <c r="I306" s="5" t="n">
        <v>17</v>
      </c>
      <c r="J306" s="5" t="n">
        <v>0</v>
      </c>
      <c r="K306" s="5" t="n">
        <v>22</v>
      </c>
      <c r="L306" s="5" t="n">
        <v>0</v>
      </c>
      <c r="M306" s="5" t="n">
        <v>2.6</v>
      </c>
      <c r="N306" s="5" t="n">
        <v>0.6</v>
      </c>
      <c r="O306" s="5" t="n">
        <v>0.1</v>
      </c>
      <c r="P306" s="5" t="n">
        <v>0.06</v>
      </c>
      <c r="Q306" s="5" t="n">
        <v>0.1</v>
      </c>
      <c r="R306" s="5" t="n">
        <v>2</v>
      </c>
      <c r="S306" s="5" t="n">
        <v>0.2</v>
      </c>
      <c r="T306" s="5" t="n">
        <v>9</v>
      </c>
      <c r="U306" s="5" t="n">
        <v>2</v>
      </c>
      <c r="V306" s="5" t="n">
        <v>42</v>
      </c>
      <c r="W306" s="5" t="n">
        <v>0.3</v>
      </c>
      <c r="X306" s="5" t="n">
        <v>45</v>
      </c>
      <c r="Y306" s="5" t="n">
        <v>0.5</v>
      </c>
      <c r="Z306" s="5" t="n">
        <v>350</v>
      </c>
      <c r="AA306" s="7" t="n">
        <v>0</v>
      </c>
    </row>
    <row r="307" customFormat="false" ht="26.25" hidden="false" customHeight="true" outlineLevel="0" collapsed="false">
      <c r="A307" s="4" t="s">
        <v>357</v>
      </c>
      <c r="B307" s="4" t="s">
        <v>350</v>
      </c>
      <c r="C307" s="5" t="n">
        <v>3</v>
      </c>
      <c r="D307" s="5"/>
      <c r="E307" s="4" t="s">
        <v>29</v>
      </c>
      <c r="F307" s="6" t="s">
        <v>350</v>
      </c>
      <c r="G307" s="5" t="n">
        <v>86</v>
      </c>
      <c r="H307" s="5" t="n">
        <v>1.2</v>
      </c>
      <c r="I307" s="5" t="n">
        <v>17</v>
      </c>
      <c r="J307" s="5" t="n">
        <v>0</v>
      </c>
      <c r="K307" s="5" t="n">
        <v>21</v>
      </c>
      <c r="L307" s="5" t="n">
        <v>0</v>
      </c>
      <c r="M307" s="5" t="n">
        <v>2</v>
      </c>
      <c r="N307" s="5" t="n">
        <v>0.5</v>
      </c>
      <c r="O307" s="5" t="n">
        <v>0.1</v>
      </c>
      <c r="P307" s="5" t="n">
        <v>0.06</v>
      </c>
      <c r="Q307" s="5" t="n">
        <v>0.08</v>
      </c>
      <c r="R307" s="5" t="n">
        <v>2</v>
      </c>
      <c r="S307" s="5" t="n">
        <v>0.15</v>
      </c>
      <c r="T307" s="5" t="n">
        <v>10</v>
      </c>
      <c r="U307" s="5" t="n">
        <v>1.5</v>
      </c>
      <c r="V307" s="5" t="n">
        <v>20</v>
      </c>
      <c r="W307" s="5" t="n">
        <v>0.3</v>
      </c>
      <c r="X307" s="5" t="n">
        <v>30</v>
      </c>
      <c r="Y307" s="5" t="n">
        <v>0.4</v>
      </c>
      <c r="Z307" s="5" t="n">
        <v>340</v>
      </c>
      <c r="AA307" s="7" t="n">
        <v>0</v>
      </c>
    </row>
    <row r="308" customFormat="false" ht="26.25" hidden="false" customHeight="true" outlineLevel="0" collapsed="false">
      <c r="A308" s="4" t="s">
        <v>358</v>
      </c>
      <c r="B308" s="4" t="s">
        <v>350</v>
      </c>
      <c r="C308" s="5" t="n">
        <v>2</v>
      </c>
      <c r="D308" s="5"/>
      <c r="E308" s="4" t="s">
        <v>29</v>
      </c>
      <c r="F308" s="6" t="s">
        <v>350</v>
      </c>
      <c r="G308" s="5" t="n">
        <v>84</v>
      </c>
      <c r="H308" s="5" t="n">
        <v>1</v>
      </c>
      <c r="I308" s="5" t="n">
        <v>18</v>
      </c>
      <c r="J308" s="5" t="n">
        <v>0</v>
      </c>
      <c r="K308" s="5" t="n">
        <v>15</v>
      </c>
      <c r="L308" s="5" t="n">
        <v>0</v>
      </c>
      <c r="M308" s="5" t="n">
        <v>3</v>
      </c>
      <c r="N308" s="5" t="n">
        <v>0.5</v>
      </c>
      <c r="O308" s="5" t="n">
        <v>0.1</v>
      </c>
      <c r="P308" s="5" t="n">
        <v>0.05</v>
      </c>
      <c r="Q308" s="5" t="n">
        <v>0.1</v>
      </c>
      <c r="R308" s="5" t="n">
        <v>2.3</v>
      </c>
      <c r="S308" s="5" t="n">
        <v>0.25</v>
      </c>
      <c r="T308" s="5" t="n">
        <v>10</v>
      </c>
      <c r="U308" s="5" t="n">
        <v>2</v>
      </c>
      <c r="V308" s="5" t="n">
        <v>15</v>
      </c>
      <c r="W308" s="5" t="n">
        <v>0.5</v>
      </c>
      <c r="X308" s="5" t="n">
        <v>30</v>
      </c>
      <c r="Y308" s="5" t="n">
        <v>0.6</v>
      </c>
      <c r="Z308" s="5" t="n">
        <v>350</v>
      </c>
      <c r="AA308" s="7" t="n">
        <v>0</v>
      </c>
    </row>
    <row r="309" customFormat="false" ht="26.25" hidden="false" customHeight="true" outlineLevel="0" collapsed="false">
      <c r="A309" s="4" t="s">
        <v>359</v>
      </c>
      <c r="B309" s="4" t="s">
        <v>350</v>
      </c>
      <c r="C309" s="5" t="n">
        <v>2</v>
      </c>
      <c r="D309" s="5"/>
      <c r="E309" s="4" t="s">
        <v>29</v>
      </c>
      <c r="F309" s="6" t="s">
        <v>350</v>
      </c>
      <c r="G309" s="5" t="n">
        <v>91</v>
      </c>
      <c r="H309" s="5" t="n">
        <v>1</v>
      </c>
      <c r="I309" s="5" t="n">
        <v>19</v>
      </c>
      <c r="J309" s="5" t="n">
        <v>0</v>
      </c>
      <c r="K309" s="5" t="n">
        <v>15</v>
      </c>
      <c r="L309" s="5" t="n">
        <v>0</v>
      </c>
      <c r="M309" s="5" t="n">
        <v>3</v>
      </c>
      <c r="N309" s="5" t="n">
        <v>0.5</v>
      </c>
      <c r="O309" s="5" t="n">
        <v>0.1</v>
      </c>
      <c r="P309" s="5" t="n">
        <v>0.05</v>
      </c>
      <c r="Q309" s="5" t="n">
        <v>0.1</v>
      </c>
      <c r="R309" s="5" t="n">
        <v>2.3</v>
      </c>
      <c r="S309" s="5" t="n">
        <v>0.25</v>
      </c>
      <c r="T309" s="5" t="n">
        <v>10</v>
      </c>
      <c r="U309" s="5" t="n">
        <v>2</v>
      </c>
      <c r="V309" s="5" t="n">
        <v>15</v>
      </c>
      <c r="W309" s="5" t="n">
        <v>0.7</v>
      </c>
      <c r="X309" s="5" t="n">
        <v>30</v>
      </c>
      <c r="Y309" s="5" t="n">
        <v>0.7</v>
      </c>
      <c r="Z309" s="5" t="n">
        <v>350</v>
      </c>
      <c r="AA309" s="7" t="n">
        <v>0</v>
      </c>
    </row>
    <row r="310" customFormat="false" ht="26.25" hidden="false" customHeight="true" outlineLevel="0" collapsed="false">
      <c r="A310" s="4" t="s">
        <v>360</v>
      </c>
      <c r="B310" s="4" t="s">
        <v>350</v>
      </c>
      <c r="C310" s="5" t="n">
        <v>3.5</v>
      </c>
      <c r="D310" s="5"/>
      <c r="E310" s="4" t="s">
        <v>29</v>
      </c>
      <c r="F310" s="6" t="s">
        <v>350</v>
      </c>
      <c r="G310" s="5" t="n">
        <v>144</v>
      </c>
      <c r="H310" s="5" t="n">
        <v>5</v>
      </c>
      <c r="I310" s="5" t="n">
        <v>23</v>
      </c>
      <c r="J310" s="5" t="n">
        <v>0</v>
      </c>
      <c r="K310" s="5" t="n">
        <v>20</v>
      </c>
      <c r="L310" s="5" t="n">
        <v>0</v>
      </c>
      <c r="M310" s="5" t="n">
        <v>2.3</v>
      </c>
      <c r="N310" s="5" t="n">
        <v>1</v>
      </c>
      <c r="O310" s="5" t="n">
        <v>0.1</v>
      </c>
      <c r="P310" s="5" t="n">
        <v>0.24</v>
      </c>
      <c r="Q310" s="5" t="n">
        <v>0.25</v>
      </c>
      <c r="R310" s="5" t="n">
        <v>18.8</v>
      </c>
      <c r="S310" s="5" t="n">
        <v>0.9</v>
      </c>
      <c r="T310" s="5" t="n">
        <v>2</v>
      </c>
      <c r="U310" s="5" t="n">
        <v>2.2</v>
      </c>
      <c r="V310" s="5" t="n">
        <v>8</v>
      </c>
      <c r="W310" s="5" t="n">
        <v>1</v>
      </c>
      <c r="X310" s="5" t="n">
        <v>50</v>
      </c>
      <c r="Y310" s="5" t="n">
        <v>0.6</v>
      </c>
      <c r="Z310" s="5" t="n">
        <v>441</v>
      </c>
      <c r="AA310" s="7" t="n">
        <v>0</v>
      </c>
    </row>
    <row r="311" customFormat="false" ht="26.25" hidden="false" customHeight="true" outlineLevel="0" collapsed="false">
      <c r="A311" s="4" t="s">
        <v>361</v>
      </c>
      <c r="B311" s="4" t="s">
        <v>350</v>
      </c>
      <c r="C311" s="5" t="n">
        <v>2.5</v>
      </c>
      <c r="D311" s="5"/>
      <c r="E311" s="4" t="s">
        <v>29</v>
      </c>
      <c r="F311" s="6" t="s">
        <v>350</v>
      </c>
      <c r="G311" s="5" t="n">
        <v>189</v>
      </c>
      <c r="H311" s="5" t="n">
        <v>8.2</v>
      </c>
      <c r="I311" s="5" t="n">
        <v>25</v>
      </c>
      <c r="J311" s="5" t="n">
        <v>0</v>
      </c>
      <c r="K311" s="5" t="n">
        <v>15</v>
      </c>
      <c r="L311" s="5" t="n">
        <v>0</v>
      </c>
      <c r="M311" s="5" t="n">
        <v>1.7</v>
      </c>
      <c r="N311" s="5" t="n">
        <v>1.5</v>
      </c>
      <c r="O311" s="5" t="n">
        <v>0.1</v>
      </c>
      <c r="P311" s="5" t="n">
        <v>0.02</v>
      </c>
      <c r="Q311" s="5" t="n">
        <v>0.1</v>
      </c>
      <c r="R311" s="5" t="n">
        <v>10</v>
      </c>
      <c r="S311" s="5" t="n">
        <v>0.3</v>
      </c>
      <c r="T311" s="5" t="n">
        <v>3</v>
      </c>
      <c r="U311" s="5" t="n">
        <v>2.2</v>
      </c>
      <c r="V311" s="5" t="n">
        <v>10</v>
      </c>
      <c r="W311" s="5" t="n">
        <v>1</v>
      </c>
      <c r="X311" s="5" t="n">
        <v>30</v>
      </c>
      <c r="Y311" s="5" t="n">
        <v>0.6</v>
      </c>
      <c r="Z311" s="5" t="n">
        <v>250</v>
      </c>
      <c r="AA311" s="7" t="n">
        <v>0</v>
      </c>
    </row>
    <row r="312" customFormat="false" ht="26.25" hidden="false" customHeight="true" outlineLevel="0" collapsed="false">
      <c r="A312" s="4" t="s">
        <v>362</v>
      </c>
      <c r="B312" s="4" t="s">
        <v>350</v>
      </c>
      <c r="C312" s="5" t="n">
        <v>3.5</v>
      </c>
      <c r="D312" s="5"/>
      <c r="E312" s="4" t="s">
        <v>29</v>
      </c>
      <c r="F312" s="6" t="s">
        <v>350</v>
      </c>
      <c r="G312" s="5" t="n">
        <v>121</v>
      </c>
      <c r="H312" s="5" t="n">
        <v>4</v>
      </c>
      <c r="I312" s="5" t="n">
        <v>20</v>
      </c>
      <c r="J312" s="5" t="n">
        <v>0</v>
      </c>
      <c r="K312" s="5" t="n">
        <v>25</v>
      </c>
      <c r="L312" s="5" t="n">
        <v>0</v>
      </c>
      <c r="M312" s="5" t="n">
        <v>7.6</v>
      </c>
      <c r="N312" s="5" t="n">
        <v>0.7</v>
      </c>
      <c r="O312" s="5" t="n">
        <v>0.1</v>
      </c>
      <c r="P312" s="5" t="n">
        <v>0.04</v>
      </c>
      <c r="Q312" s="5" t="n">
        <v>0.08</v>
      </c>
      <c r="R312" s="5" t="n">
        <v>10</v>
      </c>
      <c r="S312" s="5" t="n">
        <v>0.4</v>
      </c>
      <c r="T312" s="5" t="n">
        <v>2</v>
      </c>
      <c r="U312" s="5" t="n">
        <v>1.7</v>
      </c>
      <c r="V312" s="5" t="n">
        <v>5</v>
      </c>
      <c r="W312" s="5" t="n">
        <v>0.8</v>
      </c>
      <c r="X312" s="5" t="n">
        <v>28</v>
      </c>
      <c r="Y312" s="5" t="n">
        <v>0.7</v>
      </c>
      <c r="Z312" s="5" t="n">
        <v>380</v>
      </c>
      <c r="AA312" s="7" t="n">
        <v>0</v>
      </c>
    </row>
    <row r="313" customFormat="false" ht="26.25" hidden="false" customHeight="true" outlineLevel="0" collapsed="false">
      <c r="A313" s="4" t="s">
        <v>363</v>
      </c>
      <c r="B313" s="4" t="s">
        <v>350</v>
      </c>
      <c r="C313" s="5" t="n">
        <v>2.5</v>
      </c>
      <c r="D313" s="5"/>
      <c r="E313" s="4" t="s">
        <v>29</v>
      </c>
      <c r="F313" s="6" t="s">
        <v>350</v>
      </c>
      <c r="G313" s="5" t="n">
        <v>95</v>
      </c>
      <c r="H313" s="5" t="n">
        <v>1.3</v>
      </c>
      <c r="I313" s="5" t="n">
        <v>18</v>
      </c>
      <c r="J313" s="5" t="n">
        <v>0</v>
      </c>
      <c r="K313" s="5" t="n">
        <v>25</v>
      </c>
      <c r="L313" s="5" t="n">
        <v>0</v>
      </c>
      <c r="M313" s="5" t="n">
        <v>2</v>
      </c>
      <c r="N313" s="5" t="n">
        <v>0.6</v>
      </c>
      <c r="O313" s="5" t="n">
        <v>0.1</v>
      </c>
      <c r="P313" s="5" t="n">
        <v>0.07</v>
      </c>
      <c r="Q313" s="5" t="n">
        <v>0.1</v>
      </c>
      <c r="R313" s="5" t="n">
        <v>3</v>
      </c>
      <c r="S313" s="5" t="n">
        <v>0.3</v>
      </c>
      <c r="T313" s="5" t="n">
        <v>10</v>
      </c>
      <c r="U313" s="5" t="n">
        <v>1</v>
      </c>
      <c r="V313" s="5" t="n">
        <v>12</v>
      </c>
      <c r="W313" s="5" t="n">
        <v>0.3</v>
      </c>
      <c r="X313" s="5" t="n">
        <v>30</v>
      </c>
      <c r="Y313" s="5" t="n">
        <v>0.4</v>
      </c>
      <c r="Z313" s="5" t="n">
        <v>350</v>
      </c>
      <c r="AA313" s="7" t="n">
        <v>0</v>
      </c>
    </row>
    <row r="314" customFormat="false" ht="26.25" hidden="false" customHeight="true" outlineLevel="0" collapsed="false">
      <c r="A314" s="4" t="s">
        <v>364</v>
      </c>
      <c r="B314" s="4" t="s">
        <v>350</v>
      </c>
      <c r="C314" s="5" t="n">
        <v>4.5</v>
      </c>
      <c r="D314" s="5"/>
      <c r="E314" s="4" t="s">
        <v>29</v>
      </c>
      <c r="F314" s="6" t="s">
        <v>350</v>
      </c>
      <c r="G314" s="5" t="n">
        <v>92</v>
      </c>
      <c r="H314" s="5" t="n">
        <v>3</v>
      </c>
      <c r="I314" s="5" t="n">
        <v>15</v>
      </c>
      <c r="J314" s="5" t="n">
        <v>0</v>
      </c>
      <c r="K314" s="5" t="n">
        <v>10</v>
      </c>
      <c r="L314" s="5" t="n">
        <v>0</v>
      </c>
      <c r="M314" s="5" t="n">
        <v>5</v>
      </c>
      <c r="N314" s="5" t="n">
        <v>0.5</v>
      </c>
      <c r="O314" s="5" t="n">
        <v>0.1</v>
      </c>
      <c r="P314" s="5" t="n">
        <v>0.05</v>
      </c>
      <c r="Q314" s="5" t="n">
        <v>0.08</v>
      </c>
      <c r="R314" s="5" t="n">
        <v>2.5</v>
      </c>
      <c r="S314" s="5" t="n">
        <v>0.2</v>
      </c>
      <c r="T314" s="5" t="n">
        <v>5</v>
      </c>
      <c r="U314" s="5" t="n">
        <v>1</v>
      </c>
      <c r="V314" s="5" t="n">
        <v>10</v>
      </c>
      <c r="W314" s="5" t="n">
        <v>0.3</v>
      </c>
      <c r="X314" s="5" t="n">
        <v>20</v>
      </c>
      <c r="Y314" s="5" t="n">
        <v>0.4</v>
      </c>
      <c r="Z314" s="5" t="n">
        <v>300</v>
      </c>
      <c r="AA314" s="7" t="n">
        <v>0</v>
      </c>
    </row>
    <row r="315" customFormat="false" ht="26.25" hidden="false" customHeight="true" outlineLevel="0" collapsed="false">
      <c r="A315" s="4" t="s">
        <v>365</v>
      </c>
      <c r="B315" s="4" t="s">
        <v>350</v>
      </c>
      <c r="C315" s="5" t="n">
        <v>4</v>
      </c>
      <c r="D315" s="5"/>
      <c r="E315" s="4" t="s">
        <v>29</v>
      </c>
      <c r="F315" s="6" t="s">
        <v>350</v>
      </c>
      <c r="G315" s="5" t="n">
        <v>236</v>
      </c>
      <c r="H315" s="5" t="n">
        <v>18</v>
      </c>
      <c r="I315" s="5" t="n">
        <v>18</v>
      </c>
      <c r="J315" s="5" t="n">
        <v>0</v>
      </c>
      <c r="K315" s="5" t="n">
        <v>980</v>
      </c>
      <c r="L315" s="5" t="n">
        <v>3</v>
      </c>
      <c r="M315" s="5" t="n">
        <v>0</v>
      </c>
      <c r="N315" s="5" t="n">
        <v>4</v>
      </c>
      <c r="O315" s="5" t="n">
        <v>0.1</v>
      </c>
      <c r="P315" s="5" t="n">
        <v>0.18</v>
      </c>
      <c r="Q315" s="5" t="n">
        <v>0.06</v>
      </c>
      <c r="R315" s="5" t="n">
        <v>2.9</v>
      </c>
      <c r="S315" s="5" t="n">
        <v>0.07</v>
      </c>
      <c r="T315" s="5" t="n">
        <v>15</v>
      </c>
      <c r="U315" s="5" t="n">
        <v>1.3</v>
      </c>
      <c r="V315" s="5" t="n">
        <v>20</v>
      </c>
      <c r="W315" s="5" t="n">
        <v>0.5</v>
      </c>
      <c r="X315" s="5" t="n">
        <v>20</v>
      </c>
      <c r="Y315" s="5" t="n">
        <v>1.6</v>
      </c>
      <c r="Z315" s="5" t="n">
        <v>270</v>
      </c>
      <c r="AA315" s="7" t="n">
        <v>0</v>
      </c>
    </row>
    <row r="316" customFormat="false" ht="26.25" hidden="false" customHeight="true" outlineLevel="0" collapsed="false">
      <c r="A316" s="4" t="s">
        <v>366</v>
      </c>
      <c r="B316" s="4" t="s">
        <v>350</v>
      </c>
      <c r="C316" s="5" t="n">
        <v>3</v>
      </c>
      <c r="D316" s="5"/>
      <c r="E316" s="4" t="s">
        <v>29</v>
      </c>
      <c r="F316" s="6" t="s">
        <v>350</v>
      </c>
      <c r="G316" s="5" t="n">
        <v>148</v>
      </c>
      <c r="H316" s="5" t="n">
        <v>5.4</v>
      </c>
      <c r="I316" s="5" t="n">
        <v>21</v>
      </c>
      <c r="J316" s="5" t="n">
        <v>0</v>
      </c>
      <c r="K316" s="5" t="n">
        <v>15</v>
      </c>
      <c r="L316" s="5" t="n">
        <v>0</v>
      </c>
      <c r="M316" s="5" t="n">
        <v>11</v>
      </c>
      <c r="N316" s="5" t="n">
        <v>1.5</v>
      </c>
      <c r="O316" s="5" t="n">
        <v>0.1</v>
      </c>
      <c r="P316" s="5" t="n">
        <v>0.1</v>
      </c>
      <c r="Q316" s="5" t="n">
        <v>0.13</v>
      </c>
      <c r="R316" s="5" t="n">
        <v>4.5</v>
      </c>
      <c r="S316" s="5" t="n">
        <v>0.4</v>
      </c>
      <c r="T316" s="5" t="n">
        <v>10</v>
      </c>
      <c r="U316" s="5" t="n">
        <v>4.5</v>
      </c>
      <c r="V316" s="5" t="n">
        <v>65</v>
      </c>
      <c r="W316" s="5" t="n">
        <v>0.3</v>
      </c>
      <c r="X316" s="5" t="n">
        <v>25</v>
      </c>
      <c r="Y316" s="5" t="n">
        <v>0.7</v>
      </c>
      <c r="Z316" s="5" t="n">
        <v>380</v>
      </c>
      <c r="AA316" s="7" t="n">
        <v>0</v>
      </c>
    </row>
    <row r="317" customFormat="false" ht="26.25" hidden="false" customHeight="true" outlineLevel="0" collapsed="false">
      <c r="A317" s="4" t="s">
        <v>367</v>
      </c>
      <c r="B317" s="4" t="s">
        <v>350</v>
      </c>
      <c r="C317" s="5" t="n">
        <v>2</v>
      </c>
      <c r="D317" s="5"/>
      <c r="E317" s="4" t="s">
        <v>29</v>
      </c>
      <c r="F317" s="6" t="s">
        <v>350</v>
      </c>
      <c r="G317" s="5" t="n">
        <v>127</v>
      </c>
      <c r="H317" s="5" t="n">
        <v>5.6</v>
      </c>
      <c r="I317" s="5" t="n">
        <v>18</v>
      </c>
      <c r="J317" s="5" t="n">
        <v>0</v>
      </c>
      <c r="K317" s="5" t="n">
        <v>20</v>
      </c>
      <c r="L317" s="5" t="n">
        <v>0</v>
      </c>
      <c r="M317" s="5" t="n">
        <v>15</v>
      </c>
      <c r="N317" s="5" t="n">
        <v>1</v>
      </c>
      <c r="O317" s="5" t="n">
        <v>0.1</v>
      </c>
      <c r="P317" s="5" t="n">
        <v>0.2</v>
      </c>
      <c r="Q317" s="5" t="n">
        <v>0.06</v>
      </c>
      <c r="R317" s="5" t="n">
        <v>2.3</v>
      </c>
      <c r="S317" s="5" t="n">
        <v>0.1</v>
      </c>
      <c r="T317" s="5" t="n">
        <v>15</v>
      </c>
      <c r="U317" s="5" t="n">
        <v>1.5</v>
      </c>
      <c r="V317" s="5" t="n">
        <v>40</v>
      </c>
      <c r="W317" s="5" t="n">
        <v>1.2</v>
      </c>
      <c r="X317" s="5" t="n">
        <v>25</v>
      </c>
      <c r="Y317" s="5" t="n">
        <v>1.5</v>
      </c>
      <c r="Z317" s="5" t="n">
        <v>330</v>
      </c>
      <c r="AA317" s="7" t="n">
        <v>0</v>
      </c>
    </row>
    <row r="318" customFormat="false" ht="26.25" hidden="false" customHeight="true" outlineLevel="0" collapsed="false">
      <c r="A318" s="4" t="s">
        <v>368</v>
      </c>
      <c r="B318" s="4" t="s">
        <v>350</v>
      </c>
      <c r="C318" s="5" t="n">
        <v>0.9</v>
      </c>
      <c r="D318" s="5"/>
      <c r="E318" s="4" t="s">
        <v>29</v>
      </c>
      <c r="F318" s="6" t="s">
        <v>350</v>
      </c>
      <c r="G318" s="5" t="n">
        <v>86</v>
      </c>
      <c r="H318" s="5" t="n">
        <v>2.2</v>
      </c>
      <c r="I318" s="5" t="n">
        <v>12</v>
      </c>
      <c r="J318" s="5" t="n">
        <v>3.7</v>
      </c>
      <c r="K318" s="5" t="n">
        <v>24</v>
      </c>
      <c r="L318" s="5" t="n">
        <v>4</v>
      </c>
      <c r="M318" s="5" t="n">
        <v>0</v>
      </c>
      <c r="N318" s="5" t="n">
        <v>0.6</v>
      </c>
      <c r="O318" s="5" t="n">
        <v>0.1</v>
      </c>
      <c r="P318" s="5" t="n">
        <v>0.16</v>
      </c>
      <c r="Q318" s="5" t="n">
        <v>0.21</v>
      </c>
      <c r="R318" s="5" t="n">
        <v>1.6</v>
      </c>
      <c r="S318" s="5" t="n">
        <v>0.06</v>
      </c>
      <c r="T318" s="5" t="n">
        <v>42</v>
      </c>
      <c r="U318" s="5" t="n">
        <v>12</v>
      </c>
      <c r="V318" s="5" t="n">
        <v>26</v>
      </c>
      <c r="W318" s="5" t="n">
        <v>4</v>
      </c>
      <c r="X318" s="5" t="n">
        <v>32</v>
      </c>
      <c r="Y318" s="5" t="n">
        <v>1.6</v>
      </c>
      <c r="Z318" s="5" t="n">
        <v>320</v>
      </c>
      <c r="AA318" s="7" t="n">
        <v>0</v>
      </c>
    </row>
    <row r="319" customFormat="false" ht="26.25" hidden="false" customHeight="true" outlineLevel="0" collapsed="false">
      <c r="A319" s="4" t="s">
        <v>369</v>
      </c>
      <c r="B319" s="4" t="s">
        <v>350</v>
      </c>
      <c r="C319" s="5" t="n">
        <v>0.9</v>
      </c>
      <c r="D319" s="5"/>
      <c r="E319" s="4" t="s">
        <v>29</v>
      </c>
      <c r="F319" s="6" t="s">
        <v>350</v>
      </c>
      <c r="G319" s="5" t="n">
        <v>68</v>
      </c>
      <c r="H319" s="5" t="n">
        <v>2.5</v>
      </c>
      <c r="I319" s="5" t="n">
        <v>7.1</v>
      </c>
      <c r="J319" s="5" t="n">
        <v>3.9</v>
      </c>
      <c r="K319" s="5" t="n">
        <v>90</v>
      </c>
      <c r="L319" s="5" t="n">
        <v>4</v>
      </c>
      <c r="M319" s="5" t="n">
        <v>0</v>
      </c>
      <c r="N319" s="5" t="n">
        <v>0.9</v>
      </c>
      <c r="O319" s="5" t="n">
        <v>0.1</v>
      </c>
      <c r="P319" s="5" t="n">
        <v>0.1</v>
      </c>
      <c r="Q319" s="5" t="n">
        <v>0.15</v>
      </c>
      <c r="R319" s="5" t="n">
        <v>1.4</v>
      </c>
      <c r="S319" s="5" t="n">
        <v>0.06</v>
      </c>
      <c r="T319" s="5" t="n">
        <v>15</v>
      </c>
      <c r="U319" s="5" t="n">
        <v>16</v>
      </c>
      <c r="V319" s="5" t="n">
        <v>45</v>
      </c>
      <c r="W319" s="5" t="n">
        <v>5.1</v>
      </c>
      <c r="X319" s="5" t="n">
        <v>47</v>
      </c>
      <c r="Y319" s="5" t="n">
        <v>45</v>
      </c>
      <c r="Z319" s="5" t="n">
        <v>168</v>
      </c>
      <c r="AA319" s="7" t="n">
        <v>0</v>
      </c>
    </row>
    <row r="320" customFormat="false" ht="26.25" hidden="false" customHeight="true" outlineLevel="0" collapsed="false">
      <c r="A320" s="4" t="s">
        <v>370</v>
      </c>
      <c r="B320" s="4" t="s">
        <v>350</v>
      </c>
      <c r="C320" s="5" t="n">
        <v>1</v>
      </c>
      <c r="D320" s="5"/>
      <c r="E320" s="4" t="s">
        <v>29</v>
      </c>
      <c r="F320" s="6" t="s">
        <v>350</v>
      </c>
      <c r="G320" s="5" t="n">
        <v>88</v>
      </c>
      <c r="H320" s="5" t="n">
        <v>0.8</v>
      </c>
      <c r="I320" s="5" t="n">
        <v>17</v>
      </c>
      <c r="J320" s="5" t="n">
        <v>2.4</v>
      </c>
      <c r="K320" s="5" t="n">
        <v>0</v>
      </c>
      <c r="L320" s="5" t="n">
        <v>0</v>
      </c>
      <c r="M320" s="5" t="n">
        <v>0</v>
      </c>
      <c r="N320" s="5" t="n">
        <v>0</v>
      </c>
      <c r="O320" s="5" t="n">
        <v>0.1</v>
      </c>
      <c r="P320" s="5" t="n">
        <v>0.02</v>
      </c>
      <c r="Q320" s="5" t="n">
        <v>0.06</v>
      </c>
      <c r="R320" s="5" t="n">
        <v>0.9</v>
      </c>
      <c r="S320" s="5" t="n">
        <v>0.09</v>
      </c>
      <c r="T320" s="5" t="n">
        <v>16</v>
      </c>
      <c r="U320" s="5" t="n">
        <v>1.4</v>
      </c>
      <c r="V320" s="5" t="n">
        <v>24</v>
      </c>
      <c r="W320" s="5" t="n">
        <v>0.3</v>
      </c>
      <c r="X320" s="5" t="n">
        <v>42</v>
      </c>
      <c r="Y320" s="5" t="n">
        <v>1.6</v>
      </c>
      <c r="Z320" s="5" t="n">
        <v>314</v>
      </c>
      <c r="AA320" s="7" t="n">
        <v>0</v>
      </c>
    </row>
    <row r="321" customFormat="false" ht="26.25" hidden="false" customHeight="true" outlineLevel="0" collapsed="false">
      <c r="A321" s="4" t="s">
        <v>371</v>
      </c>
      <c r="B321" s="4" t="s">
        <v>350</v>
      </c>
      <c r="C321" s="5" t="n">
        <v>2.5</v>
      </c>
      <c r="D321" s="5"/>
      <c r="E321" s="4" t="s">
        <v>29</v>
      </c>
      <c r="F321" s="6" t="s">
        <v>350</v>
      </c>
      <c r="G321" s="5" t="n">
        <v>92</v>
      </c>
      <c r="H321" s="5" t="n">
        <v>1.4</v>
      </c>
      <c r="I321" s="5" t="n">
        <v>16</v>
      </c>
      <c r="J321" s="5" t="n">
        <v>3.1</v>
      </c>
      <c r="K321" s="5" t="n">
        <v>30</v>
      </c>
      <c r="L321" s="5" t="n">
        <v>4.8</v>
      </c>
      <c r="M321" s="5" t="n">
        <v>0</v>
      </c>
      <c r="N321" s="5" t="n">
        <v>1.2</v>
      </c>
      <c r="O321" s="5" t="n">
        <v>0.1</v>
      </c>
      <c r="P321" s="5" t="n">
        <v>0.05</v>
      </c>
      <c r="Q321" s="5" t="n">
        <v>0.39</v>
      </c>
      <c r="R321" s="5" t="n">
        <v>2.2</v>
      </c>
      <c r="S321" s="5" t="n">
        <v>0.06</v>
      </c>
      <c r="T321" s="5" t="n">
        <v>7</v>
      </c>
      <c r="U321" s="5" t="n">
        <v>1.3</v>
      </c>
      <c r="V321" s="5" t="n">
        <v>32</v>
      </c>
      <c r="W321" s="5" t="n">
        <v>0.7</v>
      </c>
      <c r="X321" s="5" t="n">
        <v>33</v>
      </c>
      <c r="Y321" s="5" t="n">
        <v>1.5</v>
      </c>
      <c r="Z321" s="5" t="n">
        <v>246</v>
      </c>
      <c r="AA321" s="7" t="n">
        <v>0</v>
      </c>
    </row>
    <row r="322" customFormat="false" ht="26.25" hidden="false" customHeight="true" outlineLevel="0" collapsed="false">
      <c r="A322" s="4" t="s">
        <v>372</v>
      </c>
      <c r="B322" s="4" t="s">
        <v>350</v>
      </c>
      <c r="C322" s="5" t="n">
        <v>3</v>
      </c>
      <c r="D322" s="5"/>
      <c r="E322" s="4" t="s">
        <v>29</v>
      </c>
      <c r="F322" s="6" t="s">
        <v>350</v>
      </c>
      <c r="G322" s="5" t="n">
        <v>82</v>
      </c>
      <c r="H322" s="5" t="n">
        <v>1</v>
      </c>
      <c r="I322" s="5" t="n">
        <v>15</v>
      </c>
      <c r="J322" s="5" t="n">
        <v>2.2</v>
      </c>
      <c r="K322" s="5" t="n">
        <v>45</v>
      </c>
      <c r="L322" s="5" t="n">
        <v>5</v>
      </c>
      <c r="M322" s="5" t="n">
        <v>0</v>
      </c>
      <c r="N322" s="5" t="n">
        <v>1.2</v>
      </c>
      <c r="O322" s="5" t="n">
        <v>0.1</v>
      </c>
      <c r="P322" s="5" t="n">
        <v>0.03</v>
      </c>
      <c r="Q322" s="5" t="n">
        <v>0.04</v>
      </c>
      <c r="R322" s="5" t="n">
        <v>2.1</v>
      </c>
      <c r="S322" s="5" t="n">
        <v>0.36</v>
      </c>
      <c r="T322" s="5" t="n">
        <v>16</v>
      </c>
      <c r="U322" s="5" t="n">
        <v>20</v>
      </c>
      <c r="V322" s="5" t="n">
        <v>53</v>
      </c>
      <c r="W322" s="5" t="n">
        <v>5.3</v>
      </c>
      <c r="X322" s="5" t="n">
        <v>30</v>
      </c>
      <c r="Y322" s="5" t="n">
        <v>1.7</v>
      </c>
      <c r="Z322" s="5" t="n">
        <v>350</v>
      </c>
      <c r="AA322" s="7" t="n">
        <v>0</v>
      </c>
    </row>
    <row r="323" customFormat="false" ht="26.25" hidden="false" customHeight="true" outlineLevel="0" collapsed="false">
      <c r="A323" s="4" t="s">
        <v>373</v>
      </c>
      <c r="B323" s="4" t="s">
        <v>350</v>
      </c>
      <c r="C323" s="5" t="n">
        <v>3.5</v>
      </c>
      <c r="D323" s="5"/>
      <c r="E323" s="4" t="s">
        <v>29</v>
      </c>
      <c r="F323" s="6" t="s">
        <v>350</v>
      </c>
      <c r="G323" s="5" t="n">
        <v>97</v>
      </c>
      <c r="H323" s="5" t="n">
        <v>1.5</v>
      </c>
      <c r="I323" s="5" t="n">
        <v>19</v>
      </c>
      <c r="J323" s="5" t="n">
        <v>0</v>
      </c>
      <c r="K323" s="5" t="n">
        <v>0</v>
      </c>
      <c r="L323" s="5" t="n">
        <v>3</v>
      </c>
      <c r="M323" s="5" t="n">
        <v>0</v>
      </c>
      <c r="N323" s="5" t="n">
        <v>2</v>
      </c>
      <c r="O323" s="5" t="n">
        <v>0.1</v>
      </c>
      <c r="P323" s="5" t="n">
        <v>0.02</v>
      </c>
      <c r="Q323" s="5" t="n">
        <v>0.06</v>
      </c>
      <c r="R323" s="5" t="n">
        <v>3</v>
      </c>
      <c r="S323" s="5" t="n">
        <v>0.2</v>
      </c>
      <c r="T323" s="5" t="n">
        <v>43</v>
      </c>
      <c r="U323" s="5" t="n">
        <v>10</v>
      </c>
      <c r="V323" s="5" t="n">
        <v>89</v>
      </c>
      <c r="W323" s="5" t="n">
        <v>0.7</v>
      </c>
      <c r="X323" s="5" t="n">
        <v>60</v>
      </c>
      <c r="Y323" s="5" t="n">
        <v>4</v>
      </c>
      <c r="Z323" s="5" t="n">
        <v>300</v>
      </c>
      <c r="AA323" s="7" t="n">
        <v>0</v>
      </c>
    </row>
    <row r="324" customFormat="false" ht="26.25" hidden="false" customHeight="true" outlineLevel="0" collapsed="false">
      <c r="A324" s="4" t="s">
        <v>374</v>
      </c>
      <c r="B324" s="4" t="s">
        <v>350</v>
      </c>
      <c r="C324" s="5" t="n">
        <v>5</v>
      </c>
      <c r="D324" s="5"/>
      <c r="E324" s="4" t="s">
        <v>29</v>
      </c>
      <c r="F324" s="6" t="s">
        <v>350</v>
      </c>
      <c r="G324" s="5" t="n">
        <v>89</v>
      </c>
      <c r="H324" s="5" t="n">
        <v>0.9</v>
      </c>
      <c r="I324" s="5" t="n">
        <v>19</v>
      </c>
      <c r="J324" s="5" t="n">
        <v>0</v>
      </c>
      <c r="K324" s="5" t="n">
        <v>0</v>
      </c>
      <c r="L324" s="5" t="n">
        <v>0</v>
      </c>
      <c r="M324" s="5" t="n">
        <v>0</v>
      </c>
      <c r="N324" s="5" t="n">
        <v>1.4</v>
      </c>
      <c r="O324" s="5" t="n">
        <v>0.1</v>
      </c>
      <c r="P324" s="5" t="n">
        <v>0.02</v>
      </c>
      <c r="Q324" s="5" t="n">
        <v>0.05</v>
      </c>
      <c r="R324" s="5" t="n">
        <v>1.5</v>
      </c>
      <c r="S324" s="5" t="n">
        <v>0.1</v>
      </c>
      <c r="T324" s="5" t="n">
        <v>15</v>
      </c>
      <c r="U324" s="5" t="n">
        <v>1.5</v>
      </c>
      <c r="V324" s="5" t="n">
        <v>52</v>
      </c>
      <c r="W324" s="5" t="n">
        <v>0.4</v>
      </c>
      <c r="X324" s="5" t="n">
        <v>30</v>
      </c>
      <c r="Y324" s="5" t="n">
        <v>3.5</v>
      </c>
      <c r="Z324" s="5" t="n">
        <v>300</v>
      </c>
      <c r="AA324" s="7" t="n">
        <v>0</v>
      </c>
    </row>
    <row r="325" customFormat="false" ht="26.25" hidden="false" customHeight="true" outlineLevel="0" collapsed="false">
      <c r="A325" s="4" t="s">
        <v>375</v>
      </c>
      <c r="B325" s="4" t="s">
        <v>350</v>
      </c>
      <c r="C325" s="5" t="n">
        <v>3.5</v>
      </c>
      <c r="D325" s="5"/>
      <c r="E325" s="4" t="s">
        <v>29</v>
      </c>
      <c r="F325" s="6" t="s">
        <v>350</v>
      </c>
      <c r="G325" s="5" t="n">
        <v>117</v>
      </c>
      <c r="H325" s="5" t="n">
        <v>4.3</v>
      </c>
      <c r="I325" s="5" t="n">
        <v>18</v>
      </c>
      <c r="J325" s="5" t="n">
        <v>0</v>
      </c>
      <c r="K325" s="5" t="n">
        <v>8</v>
      </c>
      <c r="L325" s="5" t="n">
        <v>0</v>
      </c>
      <c r="M325" s="5" t="n">
        <v>8</v>
      </c>
      <c r="N325" s="5" t="n">
        <v>1.5</v>
      </c>
      <c r="O325" s="5" t="n">
        <v>0.1</v>
      </c>
      <c r="P325" s="5" t="n">
        <v>0.2</v>
      </c>
      <c r="Q325" s="5" t="n">
        <v>0.15</v>
      </c>
      <c r="R325" s="5" t="n">
        <v>7</v>
      </c>
      <c r="S325" s="5" t="n">
        <v>0.3</v>
      </c>
      <c r="T325" s="5" t="n">
        <v>3</v>
      </c>
      <c r="U325" s="5" t="n">
        <v>3.5</v>
      </c>
      <c r="V325" s="5" t="n">
        <v>12</v>
      </c>
      <c r="W325" s="5" t="n">
        <v>0.4</v>
      </c>
      <c r="X325" s="5" t="n">
        <v>25</v>
      </c>
      <c r="Y325" s="5" t="n">
        <v>0.6</v>
      </c>
      <c r="Z325" s="5" t="n">
        <v>230</v>
      </c>
      <c r="AA325" s="7" t="n">
        <v>0</v>
      </c>
    </row>
    <row r="326" customFormat="false" ht="26.25" hidden="false" customHeight="true" outlineLevel="0" collapsed="false">
      <c r="A326" s="4" t="s">
        <v>376</v>
      </c>
      <c r="B326" s="4" t="s">
        <v>350</v>
      </c>
      <c r="C326" s="5" t="n">
        <v>1.5</v>
      </c>
      <c r="D326" s="5"/>
      <c r="E326" s="4" t="s">
        <v>29</v>
      </c>
      <c r="F326" s="6" t="s">
        <v>350</v>
      </c>
      <c r="G326" s="5" t="n">
        <v>220</v>
      </c>
      <c r="H326" s="5" t="n">
        <v>15</v>
      </c>
      <c r="I326" s="5" t="n">
        <v>17</v>
      </c>
      <c r="J326" s="5" t="n">
        <v>3</v>
      </c>
      <c r="K326" s="5" t="n">
        <v>40</v>
      </c>
      <c r="L326" s="5" t="n">
        <v>0</v>
      </c>
      <c r="M326" s="5" t="n">
        <v>15</v>
      </c>
      <c r="N326" s="5" t="n">
        <v>1.2</v>
      </c>
      <c r="O326" s="5" t="n">
        <v>0.1</v>
      </c>
      <c r="P326" s="5" t="n">
        <v>0.03</v>
      </c>
      <c r="Q326" s="5" t="n">
        <v>0.2</v>
      </c>
      <c r="R326" s="5" t="n">
        <v>3.5</v>
      </c>
      <c r="S326" s="5" t="n">
        <v>0.3</v>
      </c>
      <c r="T326" s="5" t="n">
        <v>10</v>
      </c>
      <c r="U326" s="5" t="n">
        <v>8</v>
      </c>
      <c r="V326" s="5" t="n">
        <v>55</v>
      </c>
      <c r="W326" s="5" t="n">
        <v>1</v>
      </c>
      <c r="X326" s="5" t="n">
        <v>30</v>
      </c>
      <c r="Y326" s="5" t="n">
        <v>0.9</v>
      </c>
      <c r="Z326" s="5" t="n">
        <v>300</v>
      </c>
      <c r="AA326" s="7" t="n">
        <v>0</v>
      </c>
    </row>
    <row r="327" customFormat="false" ht="26.25" hidden="false" customHeight="true" outlineLevel="0" collapsed="false">
      <c r="A327" s="4" t="s">
        <v>377</v>
      </c>
      <c r="B327" s="4" t="s">
        <v>350</v>
      </c>
      <c r="C327" s="5" t="n">
        <v>2</v>
      </c>
      <c r="D327" s="5"/>
      <c r="E327" s="4" t="s">
        <v>29</v>
      </c>
      <c r="F327" s="6" t="s">
        <v>350</v>
      </c>
      <c r="G327" s="5" t="n">
        <v>220</v>
      </c>
      <c r="H327" s="5" t="n">
        <v>12</v>
      </c>
      <c r="I327" s="5" t="n">
        <v>12</v>
      </c>
      <c r="J327" s="5" t="n">
        <v>15</v>
      </c>
      <c r="K327" s="5" t="n">
        <v>10</v>
      </c>
      <c r="L327" s="5" t="n">
        <v>0</v>
      </c>
      <c r="M327" s="5" t="n">
        <v>2</v>
      </c>
      <c r="N327" s="5" t="n">
        <v>0.5</v>
      </c>
      <c r="O327" s="5" t="n">
        <v>2</v>
      </c>
      <c r="P327" s="5" t="n">
        <v>0.06</v>
      </c>
      <c r="Q327" s="5" t="n">
        <v>0.08</v>
      </c>
      <c r="R327" s="5" t="n">
        <v>2</v>
      </c>
      <c r="S327" s="5" t="n">
        <v>0.15</v>
      </c>
      <c r="T327" s="5" t="n">
        <v>10</v>
      </c>
      <c r="U327" s="5" t="n">
        <v>1</v>
      </c>
      <c r="V327" s="5" t="n">
        <v>20</v>
      </c>
      <c r="W327" s="5" t="n">
        <v>0.4</v>
      </c>
      <c r="X327" s="5" t="n">
        <v>20</v>
      </c>
      <c r="Y327" s="5" t="n">
        <v>0.4</v>
      </c>
      <c r="Z327" s="5" t="n">
        <v>220</v>
      </c>
      <c r="AA327" s="7" t="n">
        <v>0</v>
      </c>
    </row>
    <row r="328" customFormat="false" ht="26.25" hidden="false" customHeight="true" outlineLevel="0" collapsed="false">
      <c r="A328" s="4" t="s">
        <v>378</v>
      </c>
      <c r="B328" s="4" t="s">
        <v>350</v>
      </c>
      <c r="C328" s="5" t="n">
        <v>1.8</v>
      </c>
      <c r="D328" s="5"/>
      <c r="E328" s="4" t="s">
        <v>29</v>
      </c>
      <c r="F328" s="6" t="s">
        <v>350</v>
      </c>
      <c r="G328" s="5" t="n">
        <v>99</v>
      </c>
      <c r="H328" s="5" t="n">
        <v>0.9</v>
      </c>
      <c r="I328" s="5" t="n">
        <v>15</v>
      </c>
      <c r="J328" s="5" t="n">
        <v>8</v>
      </c>
      <c r="K328" s="5" t="n">
        <v>5</v>
      </c>
      <c r="L328" s="5" t="n">
        <v>0</v>
      </c>
      <c r="M328" s="5" t="n">
        <v>1</v>
      </c>
      <c r="N328" s="5" t="n">
        <v>0.3</v>
      </c>
      <c r="O328" s="5" t="n">
        <v>0.1</v>
      </c>
      <c r="P328" s="5" t="n">
        <v>0.02</v>
      </c>
      <c r="Q328" s="5" t="n">
        <v>0.03</v>
      </c>
      <c r="R328" s="5" t="n">
        <v>0.5</v>
      </c>
      <c r="S328" s="5" t="n">
        <v>0.1</v>
      </c>
      <c r="T328" s="5" t="n">
        <v>3</v>
      </c>
      <c r="U328" s="5" t="n">
        <v>0.5</v>
      </c>
      <c r="V328" s="5" t="n">
        <v>10</v>
      </c>
      <c r="W328" s="5" t="n">
        <v>0.2</v>
      </c>
      <c r="X328" s="5" t="n">
        <v>15</v>
      </c>
      <c r="Y328" s="5" t="n">
        <v>0.3</v>
      </c>
      <c r="Z328" s="5" t="n">
        <v>150</v>
      </c>
      <c r="AA328" s="7" t="n">
        <v>0.4</v>
      </c>
    </row>
    <row r="329" customFormat="false" ht="26.25" hidden="false" customHeight="true" outlineLevel="0" collapsed="false">
      <c r="A329" s="4" t="s">
        <v>379</v>
      </c>
      <c r="B329" s="4" t="s">
        <v>380</v>
      </c>
      <c r="C329" s="5" t="n">
        <v>11</v>
      </c>
      <c r="D329" s="5"/>
      <c r="E329" s="4" t="s">
        <v>29</v>
      </c>
      <c r="F329" s="6" t="s">
        <v>380</v>
      </c>
      <c r="G329" s="5" t="n">
        <v>172</v>
      </c>
      <c r="H329" s="5" t="n">
        <v>4.7</v>
      </c>
      <c r="I329" s="5" t="n">
        <v>29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0.2</v>
      </c>
      <c r="O329" s="5" t="n">
        <v>1.5</v>
      </c>
      <c r="P329" s="5" t="n">
        <v>0.06</v>
      </c>
      <c r="Q329" s="5" t="n">
        <v>0.23</v>
      </c>
      <c r="R329" s="5" t="n">
        <v>8</v>
      </c>
      <c r="S329" s="5" t="n">
        <v>0.36</v>
      </c>
      <c r="T329" s="5" t="n">
        <v>8</v>
      </c>
      <c r="U329" s="5" t="n">
        <v>1.4</v>
      </c>
      <c r="V329" s="5" t="n">
        <v>11</v>
      </c>
      <c r="W329" s="5" t="n">
        <v>1</v>
      </c>
      <c r="X329" s="5" t="n">
        <v>23</v>
      </c>
      <c r="Y329" s="5" t="n">
        <v>3.8</v>
      </c>
      <c r="Z329" s="5" t="n">
        <v>330</v>
      </c>
      <c r="AA329" s="7" t="n">
        <v>0</v>
      </c>
    </row>
    <row r="330" customFormat="false" ht="26.25" hidden="false" customHeight="true" outlineLevel="0" collapsed="false">
      <c r="A330" s="4" t="s">
        <v>381</v>
      </c>
      <c r="B330" s="4" t="s">
        <v>380</v>
      </c>
      <c r="C330" s="5" t="n">
        <v>4.5</v>
      </c>
      <c r="D330" s="5"/>
      <c r="E330" s="4" t="s">
        <v>29</v>
      </c>
      <c r="F330" s="6" t="s">
        <v>380</v>
      </c>
      <c r="G330" s="5" t="n">
        <v>135</v>
      </c>
      <c r="H330" s="5" t="n">
        <v>2</v>
      </c>
      <c r="I330" s="5" t="n">
        <v>29</v>
      </c>
      <c r="J330" s="5" t="n">
        <v>0</v>
      </c>
      <c r="K330" s="5" t="n">
        <v>0</v>
      </c>
      <c r="L330" s="5" t="n">
        <v>0</v>
      </c>
      <c r="M330" s="5" t="n">
        <v>0.1</v>
      </c>
      <c r="N330" s="5" t="n">
        <v>0.2</v>
      </c>
      <c r="O330" s="5" t="n">
        <v>0</v>
      </c>
      <c r="P330" s="5" t="n">
        <v>0.05</v>
      </c>
      <c r="Q330" s="5" t="n">
        <v>0.13</v>
      </c>
      <c r="R330" s="5" t="n">
        <v>6.5</v>
      </c>
      <c r="S330" s="5" t="n">
        <v>0.6</v>
      </c>
      <c r="T330" s="5" t="n">
        <v>8</v>
      </c>
      <c r="U330" s="5" t="n">
        <v>0.3</v>
      </c>
      <c r="V330" s="5" t="n">
        <v>13</v>
      </c>
      <c r="W330" s="5" t="n">
        <v>1.2</v>
      </c>
      <c r="X330" s="5" t="n">
        <v>28</v>
      </c>
      <c r="Y330" s="5" t="n">
        <v>1.9</v>
      </c>
      <c r="Z330" s="5" t="n">
        <v>260</v>
      </c>
      <c r="AA330" s="7" t="n">
        <v>0</v>
      </c>
    </row>
    <row r="331" customFormat="false" ht="26.25" hidden="false" customHeight="true" outlineLevel="0" collapsed="false">
      <c r="A331" s="4" t="s">
        <v>382</v>
      </c>
      <c r="B331" s="4" t="s">
        <v>380</v>
      </c>
      <c r="C331" s="5" t="n">
        <v>8</v>
      </c>
      <c r="D331" s="5"/>
      <c r="E331" s="4" t="s">
        <v>29</v>
      </c>
      <c r="F331" s="6" t="s">
        <v>380</v>
      </c>
      <c r="G331" s="5" t="n">
        <v>337</v>
      </c>
      <c r="H331" s="5" t="n">
        <v>28</v>
      </c>
      <c r="I331" s="5" t="n">
        <v>19</v>
      </c>
      <c r="J331" s="5" t="n">
        <v>0</v>
      </c>
      <c r="K331" s="5" t="n">
        <v>60</v>
      </c>
      <c r="L331" s="5" t="n">
        <v>0</v>
      </c>
      <c r="M331" s="5" t="n">
        <v>0</v>
      </c>
      <c r="N331" s="5" t="n">
        <v>0.7</v>
      </c>
      <c r="O331" s="5" t="n">
        <v>3</v>
      </c>
      <c r="P331" s="5" t="n">
        <v>0.2</v>
      </c>
      <c r="Q331" s="5" t="n">
        <v>0.27</v>
      </c>
      <c r="R331" s="5" t="n">
        <v>4.6</v>
      </c>
      <c r="S331" s="5" t="n">
        <v>0.2</v>
      </c>
      <c r="T331" s="5" t="n">
        <v>10</v>
      </c>
      <c r="U331" s="5" t="n">
        <v>0.4</v>
      </c>
      <c r="V331" s="5" t="n">
        <v>11</v>
      </c>
      <c r="W331" s="5" t="n">
        <v>2.7</v>
      </c>
      <c r="X331" s="5" t="n">
        <v>16</v>
      </c>
      <c r="Y331" s="5" t="n">
        <v>1.9</v>
      </c>
      <c r="Z331" s="5" t="n">
        <v>240</v>
      </c>
      <c r="AA331" s="7" t="n">
        <v>0</v>
      </c>
    </row>
    <row r="332" customFormat="false" ht="26.25" hidden="false" customHeight="true" outlineLevel="0" collapsed="false">
      <c r="A332" s="4" t="s">
        <v>383</v>
      </c>
      <c r="B332" s="4" t="s">
        <v>380</v>
      </c>
      <c r="C332" s="5" t="n">
        <v>9</v>
      </c>
      <c r="D332" s="5"/>
      <c r="E332" s="4" t="s">
        <v>29</v>
      </c>
      <c r="F332" s="6" t="s">
        <v>380</v>
      </c>
      <c r="G332" s="5" t="n">
        <v>305</v>
      </c>
      <c r="H332" s="5" t="n">
        <v>25</v>
      </c>
      <c r="I332" s="5" t="n">
        <v>16</v>
      </c>
      <c r="J332" s="5" t="n">
        <v>0</v>
      </c>
      <c r="K332" s="5" t="n">
        <v>20</v>
      </c>
      <c r="L332" s="5" t="n">
        <v>0</v>
      </c>
      <c r="M332" s="5" t="n">
        <v>0</v>
      </c>
      <c r="N332" s="5" t="n">
        <v>0.6</v>
      </c>
      <c r="O332" s="5" t="n">
        <v>3</v>
      </c>
      <c r="P332" s="5" t="n">
        <v>0.07</v>
      </c>
      <c r="Q332" s="5" t="n">
        <v>0.23</v>
      </c>
      <c r="R332" s="5" t="n">
        <v>4.2</v>
      </c>
      <c r="S332" s="5" t="n">
        <v>0.3</v>
      </c>
      <c r="T332" s="5" t="n">
        <v>10</v>
      </c>
      <c r="U332" s="5" t="n">
        <v>0.5</v>
      </c>
      <c r="V332" s="5" t="n">
        <v>13</v>
      </c>
      <c r="W332" s="5" t="n">
        <v>2.1</v>
      </c>
      <c r="X332" s="5" t="n">
        <v>20</v>
      </c>
      <c r="Y332" s="5" t="n">
        <v>1.7</v>
      </c>
      <c r="Z332" s="5" t="n">
        <v>310</v>
      </c>
      <c r="AA332" s="7" t="n">
        <v>0</v>
      </c>
    </row>
    <row r="333" customFormat="false" ht="26.25" hidden="false" customHeight="true" outlineLevel="0" collapsed="false">
      <c r="A333" s="4" t="s">
        <v>384</v>
      </c>
      <c r="B333" s="4" t="s">
        <v>380</v>
      </c>
      <c r="C333" s="5" t="n">
        <v>3.5</v>
      </c>
      <c r="D333" s="5"/>
      <c r="E333" s="4" t="s">
        <v>29</v>
      </c>
      <c r="F333" s="6" t="s">
        <v>380</v>
      </c>
      <c r="G333" s="5" t="n">
        <v>173</v>
      </c>
      <c r="H333" s="5" t="n">
        <v>7</v>
      </c>
      <c r="I333" s="5" t="n">
        <v>25</v>
      </c>
      <c r="J333" s="5" t="n">
        <v>0</v>
      </c>
      <c r="K333" s="5" t="n">
        <v>0</v>
      </c>
      <c r="L333" s="5" t="n">
        <v>0</v>
      </c>
      <c r="M333" s="5" t="n">
        <v>0.1</v>
      </c>
      <c r="N333" s="5" t="n">
        <v>0.4</v>
      </c>
      <c r="O333" s="5" t="n">
        <v>0</v>
      </c>
      <c r="P333" s="5" t="n">
        <v>0.08</v>
      </c>
      <c r="Q333" s="5" t="n">
        <v>0.1</v>
      </c>
      <c r="R333" s="5" t="n">
        <v>10</v>
      </c>
      <c r="S333" s="5" t="n">
        <v>0.4</v>
      </c>
      <c r="T333" s="5" t="n">
        <v>10</v>
      </c>
      <c r="U333" s="5" t="n">
        <v>4.5</v>
      </c>
      <c r="V333" s="5" t="n">
        <v>20</v>
      </c>
      <c r="W333" s="5" t="n">
        <v>1.6</v>
      </c>
      <c r="X333" s="5" t="n">
        <v>25</v>
      </c>
      <c r="Y333" s="5" t="n">
        <v>1.7</v>
      </c>
      <c r="Z333" s="5" t="n">
        <v>350</v>
      </c>
      <c r="AA333" s="7" t="n">
        <v>0</v>
      </c>
    </row>
    <row r="334" customFormat="false" ht="26.25" hidden="false" customHeight="true" outlineLevel="0" collapsed="false">
      <c r="A334" s="4" t="s">
        <v>385</v>
      </c>
      <c r="B334" s="4" t="s">
        <v>380</v>
      </c>
      <c r="C334" s="5" t="n">
        <v>5</v>
      </c>
      <c r="D334" s="5"/>
      <c r="E334" s="4" t="s">
        <v>29</v>
      </c>
      <c r="F334" s="6" t="s">
        <v>380</v>
      </c>
      <c r="G334" s="5" t="n">
        <v>134</v>
      </c>
      <c r="H334" s="5" t="n">
        <v>4.5</v>
      </c>
      <c r="I334" s="5" t="n">
        <v>22</v>
      </c>
      <c r="J334" s="5" t="n">
        <v>0</v>
      </c>
      <c r="K334" s="5" t="n">
        <v>40</v>
      </c>
      <c r="L334" s="5" t="n">
        <v>0</v>
      </c>
      <c r="M334" s="5" t="n">
        <v>0</v>
      </c>
      <c r="N334" s="5" t="n">
        <v>0.5</v>
      </c>
      <c r="O334" s="5" t="n">
        <v>0</v>
      </c>
      <c r="P334" s="5" t="n">
        <v>0.05</v>
      </c>
      <c r="Q334" s="5" t="n">
        <v>0.2</v>
      </c>
      <c r="R334" s="5" t="n">
        <v>7</v>
      </c>
      <c r="S334" s="5" t="n">
        <v>0.5</v>
      </c>
      <c r="T334" s="5" t="n">
        <v>10</v>
      </c>
      <c r="U334" s="5" t="n">
        <v>0.5</v>
      </c>
      <c r="V334" s="5" t="n">
        <v>13</v>
      </c>
      <c r="W334" s="5" t="n">
        <v>4.5</v>
      </c>
      <c r="X334" s="5" t="n">
        <v>22</v>
      </c>
      <c r="Y334" s="5" t="n">
        <v>1</v>
      </c>
      <c r="Z334" s="5" t="n">
        <v>240</v>
      </c>
      <c r="AA334" s="7" t="n">
        <v>0</v>
      </c>
    </row>
    <row r="335" customFormat="false" ht="26.25" hidden="false" customHeight="true" outlineLevel="0" collapsed="false">
      <c r="A335" s="4" t="s">
        <v>386</v>
      </c>
      <c r="B335" s="4" t="s">
        <v>380</v>
      </c>
      <c r="C335" s="5" t="n">
        <v>3.5</v>
      </c>
      <c r="D335" s="5"/>
      <c r="E335" s="4" t="s">
        <v>29</v>
      </c>
      <c r="F335" s="6" t="s">
        <v>380</v>
      </c>
      <c r="G335" s="5" t="n">
        <v>135</v>
      </c>
      <c r="H335" s="5" t="n">
        <v>3.6</v>
      </c>
      <c r="I335" s="5" t="n">
        <v>20</v>
      </c>
      <c r="J335" s="5" t="n">
        <v>3.9</v>
      </c>
      <c r="K335" s="5" t="n">
        <v>16899</v>
      </c>
      <c r="L335" s="5" t="n">
        <v>1.3</v>
      </c>
      <c r="M335" s="5" t="n">
        <v>1.2</v>
      </c>
      <c r="N335" s="5" t="n">
        <v>0.4</v>
      </c>
      <c r="O335" s="5" t="n">
        <v>3</v>
      </c>
      <c r="P335" s="5" t="n">
        <v>0.19</v>
      </c>
      <c r="Q335" s="5" t="n">
        <v>2.8</v>
      </c>
      <c r="R335" s="5" t="n">
        <v>13</v>
      </c>
      <c r="S335" s="5" t="n">
        <v>0.9</v>
      </c>
      <c r="T335" s="5" t="n">
        <v>220</v>
      </c>
      <c r="U335" s="5" t="n">
        <v>59</v>
      </c>
      <c r="V335" s="5" t="n">
        <v>5</v>
      </c>
      <c r="W335" s="5" t="n">
        <v>4.9</v>
      </c>
      <c r="X335" s="5" t="n">
        <v>18</v>
      </c>
      <c r="Y335" s="5" t="n">
        <v>4</v>
      </c>
      <c r="Z335" s="5" t="n">
        <v>313</v>
      </c>
      <c r="AA335" s="7" t="n">
        <v>0.1</v>
      </c>
    </row>
    <row r="336" customFormat="false" ht="26.25" hidden="false" customHeight="true" outlineLevel="0" collapsed="false">
      <c r="A336" s="4" t="s">
        <v>387</v>
      </c>
      <c r="B336" s="4" t="s">
        <v>380</v>
      </c>
      <c r="C336" s="5" t="n">
        <v>2</v>
      </c>
      <c r="D336" s="5"/>
      <c r="E336" s="4" t="s">
        <v>29</v>
      </c>
      <c r="F336" s="6" t="s">
        <v>380</v>
      </c>
      <c r="G336" s="5" t="n">
        <v>165</v>
      </c>
      <c r="H336" s="5" t="n">
        <v>4.8</v>
      </c>
      <c r="I336" s="5" t="n">
        <v>22</v>
      </c>
      <c r="J336" s="5" t="n">
        <v>2.5</v>
      </c>
      <c r="K336" s="5" t="n">
        <v>13000</v>
      </c>
      <c r="L336" s="5" t="n">
        <v>23</v>
      </c>
      <c r="M336" s="5" t="n">
        <v>1</v>
      </c>
      <c r="N336" s="5" t="n">
        <v>0.5</v>
      </c>
      <c r="O336" s="5" t="n">
        <v>3</v>
      </c>
      <c r="P336" s="5" t="n">
        <v>0.28</v>
      </c>
      <c r="Q336" s="5" t="n">
        <v>3</v>
      </c>
      <c r="R336" s="5" t="n">
        <v>15</v>
      </c>
      <c r="S336" s="5" t="n">
        <v>0.6</v>
      </c>
      <c r="T336" s="5" t="n">
        <v>211</v>
      </c>
      <c r="U336" s="5" t="n">
        <v>25</v>
      </c>
      <c r="V336" s="5" t="n">
        <v>9</v>
      </c>
      <c r="W336" s="5" t="n">
        <v>17</v>
      </c>
      <c r="X336" s="5" t="n">
        <v>21</v>
      </c>
      <c r="Y336" s="5" t="n">
        <v>6.5</v>
      </c>
      <c r="Z336" s="5" t="n">
        <v>300</v>
      </c>
      <c r="AA336" s="7" t="n">
        <v>0.1</v>
      </c>
    </row>
    <row r="337" customFormat="false" ht="26.25" hidden="false" customHeight="true" outlineLevel="0" collapsed="false">
      <c r="A337" s="4" t="s">
        <v>388</v>
      </c>
      <c r="B337" s="4" t="s">
        <v>380</v>
      </c>
      <c r="C337" s="5" t="n">
        <v>2</v>
      </c>
      <c r="D337" s="5"/>
      <c r="E337" s="4" t="s">
        <v>29</v>
      </c>
      <c r="F337" s="6" t="s">
        <v>380</v>
      </c>
      <c r="G337" s="5" t="n">
        <v>119</v>
      </c>
      <c r="H337" s="5" t="n">
        <v>4.8</v>
      </c>
      <c r="I337" s="5" t="n">
        <v>17</v>
      </c>
      <c r="J337" s="5" t="n">
        <v>0.7</v>
      </c>
      <c r="K337" s="5" t="n">
        <v>11078</v>
      </c>
      <c r="L337" s="5" t="n">
        <v>17</v>
      </c>
      <c r="M337" s="5" t="n">
        <v>0.7</v>
      </c>
      <c r="N337" s="5" t="n">
        <v>0.6</v>
      </c>
      <c r="O337" s="5" t="n">
        <v>0</v>
      </c>
      <c r="P337" s="5" t="n">
        <v>0.3</v>
      </c>
      <c r="Q337" s="5" t="n">
        <v>1.7</v>
      </c>
      <c r="R337" s="5" t="n">
        <v>12</v>
      </c>
      <c r="S337" s="5" t="n">
        <v>0.9</v>
      </c>
      <c r="T337" s="5" t="n">
        <v>588</v>
      </c>
      <c r="U337" s="5" t="n">
        <v>17</v>
      </c>
      <c r="V337" s="5" t="n">
        <v>11</v>
      </c>
      <c r="W337" s="5" t="n">
        <v>8.5</v>
      </c>
      <c r="X337" s="5" t="n">
        <v>17</v>
      </c>
      <c r="Y337" s="5" t="n">
        <v>2.7</v>
      </c>
      <c r="Z337" s="5" t="n">
        <v>222</v>
      </c>
      <c r="AA337" s="7" t="n">
        <v>0</v>
      </c>
    </row>
    <row r="338" customFormat="false" ht="26.25" hidden="false" customHeight="true" outlineLevel="0" collapsed="false">
      <c r="A338" s="4" t="s">
        <v>389</v>
      </c>
      <c r="B338" s="4" t="s">
        <v>380</v>
      </c>
      <c r="C338" s="5" t="n">
        <v>1.8</v>
      </c>
      <c r="D338" s="5"/>
      <c r="E338" s="4" t="s">
        <v>29</v>
      </c>
      <c r="F338" s="6" t="s">
        <v>380</v>
      </c>
      <c r="G338" s="5" t="n">
        <v>99</v>
      </c>
      <c r="H338" s="5" t="n">
        <v>3.1</v>
      </c>
      <c r="I338" s="5" t="n">
        <v>17</v>
      </c>
      <c r="J338" s="5" t="n">
        <v>0</v>
      </c>
      <c r="K338" s="5" t="n">
        <v>700</v>
      </c>
      <c r="L338" s="5" t="n">
        <v>10</v>
      </c>
      <c r="M338" s="5" t="n">
        <v>0</v>
      </c>
      <c r="N338" s="5" t="n">
        <v>0.4</v>
      </c>
      <c r="O338" s="5" t="n">
        <v>0</v>
      </c>
      <c r="P338" s="5" t="n">
        <v>0.3</v>
      </c>
      <c r="Q338" s="5" t="n">
        <v>1.9</v>
      </c>
      <c r="R338" s="5" t="n">
        <v>7</v>
      </c>
      <c r="S338" s="5" t="n">
        <v>0.5</v>
      </c>
      <c r="T338" s="5" t="n">
        <v>80</v>
      </c>
      <c r="U338" s="5" t="n">
        <v>45</v>
      </c>
      <c r="V338" s="5" t="n">
        <v>12</v>
      </c>
      <c r="W338" s="5" t="n">
        <v>4</v>
      </c>
      <c r="X338" s="5" t="n">
        <v>15</v>
      </c>
      <c r="Y338" s="5" t="n">
        <v>2.5</v>
      </c>
      <c r="Z338" s="5" t="n">
        <v>200</v>
      </c>
      <c r="AA338" s="7" t="n">
        <v>0</v>
      </c>
    </row>
    <row r="339" customFormat="false" ht="26.25" hidden="false" customHeight="true" outlineLevel="0" collapsed="false">
      <c r="A339" s="4" t="s">
        <v>390</v>
      </c>
      <c r="B339" s="4" t="s">
        <v>380</v>
      </c>
      <c r="C339" s="5" t="n">
        <v>2</v>
      </c>
      <c r="D339" s="5"/>
      <c r="E339" s="4" t="s">
        <v>29</v>
      </c>
      <c r="F339" s="6" t="s">
        <v>380</v>
      </c>
      <c r="G339" s="5" t="n">
        <v>112</v>
      </c>
      <c r="H339" s="5" t="n">
        <v>3.5</v>
      </c>
      <c r="I339" s="5" t="n">
        <v>17</v>
      </c>
      <c r="J339" s="5" t="n">
        <v>0.1</v>
      </c>
      <c r="K339" s="5" t="n">
        <v>20</v>
      </c>
      <c r="L339" s="5" t="n">
        <v>4</v>
      </c>
      <c r="M339" s="5" t="n">
        <v>0</v>
      </c>
      <c r="N339" s="5" t="n">
        <v>0.5</v>
      </c>
      <c r="O339" s="5" t="n">
        <v>0</v>
      </c>
      <c r="P339" s="5" t="n">
        <v>0.3</v>
      </c>
      <c r="Q339" s="5" t="n">
        <v>0.9</v>
      </c>
      <c r="R339" s="5" t="n">
        <v>7.5</v>
      </c>
      <c r="S339" s="5" t="n">
        <v>0.3</v>
      </c>
      <c r="T339" s="5" t="n">
        <v>3</v>
      </c>
      <c r="U339" s="5" t="n">
        <v>7.5</v>
      </c>
      <c r="V339" s="5" t="n">
        <v>5</v>
      </c>
      <c r="W339" s="5" t="n">
        <v>4.5</v>
      </c>
      <c r="X339" s="5" t="n">
        <v>20</v>
      </c>
      <c r="Y339" s="5" t="n">
        <v>2</v>
      </c>
      <c r="Z339" s="5" t="n">
        <v>240</v>
      </c>
      <c r="AA339" s="7" t="n">
        <v>0</v>
      </c>
    </row>
    <row r="340" customFormat="false" ht="26.25" hidden="false" customHeight="true" outlineLevel="0" collapsed="false">
      <c r="A340" s="4" t="s">
        <v>391</v>
      </c>
      <c r="B340" s="4" t="s">
        <v>380</v>
      </c>
      <c r="C340" s="5" t="n">
        <v>5</v>
      </c>
      <c r="D340" s="5"/>
      <c r="E340" s="4" t="s">
        <v>29</v>
      </c>
      <c r="F340" s="6" t="s">
        <v>380</v>
      </c>
      <c r="G340" s="5" t="n">
        <v>224</v>
      </c>
      <c r="H340" s="5" t="n">
        <v>17</v>
      </c>
      <c r="I340" s="5" t="n">
        <v>16</v>
      </c>
      <c r="J340" s="5" t="n">
        <v>0</v>
      </c>
      <c r="K340" s="5" t="n">
        <v>0</v>
      </c>
      <c r="L340" s="5" t="n">
        <v>1</v>
      </c>
      <c r="M340" s="5" t="n">
        <v>0</v>
      </c>
      <c r="N340" s="5" t="n">
        <v>0.4</v>
      </c>
      <c r="O340" s="5" t="n">
        <v>0</v>
      </c>
      <c r="P340" s="5" t="n">
        <v>0.05</v>
      </c>
      <c r="Q340" s="5" t="n">
        <v>0.25</v>
      </c>
      <c r="R340" s="5" t="n">
        <v>3</v>
      </c>
      <c r="S340" s="5" t="n">
        <v>0.2</v>
      </c>
      <c r="T340" s="5" t="n">
        <v>5</v>
      </c>
      <c r="U340" s="5" t="n">
        <v>2.5</v>
      </c>
      <c r="V340" s="5" t="n">
        <v>8</v>
      </c>
      <c r="W340" s="5" t="n">
        <v>2.5</v>
      </c>
      <c r="X340" s="5" t="n">
        <v>15</v>
      </c>
      <c r="Y340" s="5" t="n">
        <v>4</v>
      </c>
      <c r="Z340" s="5" t="n">
        <v>180</v>
      </c>
      <c r="AA340" s="7" t="n">
        <v>0</v>
      </c>
    </row>
    <row r="341" customFormat="false" ht="26.25" hidden="false" customHeight="true" outlineLevel="0" collapsed="false">
      <c r="A341" s="4" t="s">
        <v>392</v>
      </c>
      <c r="B341" s="4" t="s">
        <v>380</v>
      </c>
      <c r="C341" s="5" t="n">
        <v>5</v>
      </c>
      <c r="D341" s="5"/>
      <c r="E341" s="4" t="s">
        <v>29</v>
      </c>
      <c r="F341" s="6" t="s">
        <v>380</v>
      </c>
      <c r="G341" s="5" t="n">
        <v>541</v>
      </c>
      <c r="H341" s="5" t="n">
        <v>42</v>
      </c>
      <c r="I341" s="5" t="n">
        <v>37</v>
      </c>
      <c r="J341" s="5" t="n">
        <v>1.4</v>
      </c>
      <c r="K341" s="5" t="n">
        <v>0</v>
      </c>
      <c r="L341" s="5" t="n">
        <v>0</v>
      </c>
      <c r="M341" s="5" t="n">
        <v>0.5</v>
      </c>
      <c r="N341" s="5" t="n">
        <v>0.3</v>
      </c>
      <c r="O341" s="5" t="n">
        <v>0</v>
      </c>
      <c r="P341" s="5" t="n">
        <v>0.6</v>
      </c>
      <c r="Q341" s="5" t="n">
        <v>0.2</v>
      </c>
      <c r="R341" s="5" t="n">
        <v>5</v>
      </c>
      <c r="S341" s="5" t="n">
        <v>0.35</v>
      </c>
      <c r="T341" s="5" t="n">
        <v>3</v>
      </c>
      <c r="U341" s="5" t="n">
        <v>0.7</v>
      </c>
      <c r="V341" s="5" t="n">
        <v>10</v>
      </c>
      <c r="W341" s="5" t="n">
        <v>1</v>
      </c>
      <c r="X341" s="5" t="n">
        <v>20</v>
      </c>
      <c r="Y341" s="5" t="n">
        <v>2</v>
      </c>
      <c r="Z341" s="5" t="n">
        <v>280</v>
      </c>
      <c r="AA341" s="7" t="n">
        <v>0</v>
      </c>
    </row>
    <row r="342" customFormat="false" ht="26.25" hidden="false" customHeight="true" outlineLevel="0" collapsed="false">
      <c r="A342" s="4" t="s">
        <v>393</v>
      </c>
      <c r="B342" s="4" t="s">
        <v>380</v>
      </c>
      <c r="C342" s="5" t="n">
        <v>5.5</v>
      </c>
      <c r="D342" s="5"/>
      <c r="E342" s="4" t="s">
        <v>29</v>
      </c>
      <c r="F342" s="6" t="s">
        <v>380</v>
      </c>
      <c r="G342" s="5" t="n">
        <v>268</v>
      </c>
      <c r="H342" s="5" t="n">
        <v>17</v>
      </c>
      <c r="I342" s="5" t="n">
        <v>26</v>
      </c>
      <c r="J342" s="5" t="n">
        <v>0</v>
      </c>
      <c r="K342" s="5" t="n">
        <v>0</v>
      </c>
      <c r="L342" s="5" t="n">
        <v>0</v>
      </c>
      <c r="M342" s="5" t="n">
        <v>0.5</v>
      </c>
      <c r="N342" s="5" t="n">
        <v>0.3</v>
      </c>
      <c r="O342" s="5" t="n">
        <v>0</v>
      </c>
      <c r="P342" s="5" t="n">
        <v>0.6</v>
      </c>
      <c r="Q342" s="5" t="n">
        <v>0.2</v>
      </c>
      <c r="R342" s="5" t="n">
        <v>5</v>
      </c>
      <c r="S342" s="5" t="n">
        <v>0.35</v>
      </c>
      <c r="T342" s="5" t="n">
        <v>5</v>
      </c>
      <c r="U342" s="5" t="n">
        <v>0.8</v>
      </c>
      <c r="V342" s="5" t="n">
        <v>10</v>
      </c>
      <c r="W342" s="5" t="n">
        <v>1.1</v>
      </c>
      <c r="X342" s="5" t="n">
        <v>22</v>
      </c>
      <c r="Y342" s="5" t="n">
        <v>2.2</v>
      </c>
      <c r="Z342" s="5" t="n">
        <v>350</v>
      </c>
      <c r="AA342" s="7" t="n">
        <v>0</v>
      </c>
    </row>
    <row r="343" customFormat="false" ht="26.25" hidden="false" customHeight="true" outlineLevel="0" collapsed="false">
      <c r="A343" s="4" t="s">
        <v>394</v>
      </c>
      <c r="B343" s="4" t="s">
        <v>380</v>
      </c>
      <c r="C343" s="5" t="n">
        <v>4</v>
      </c>
      <c r="D343" s="5"/>
      <c r="E343" s="4" t="s">
        <v>29</v>
      </c>
      <c r="F343" s="6" t="s">
        <v>380</v>
      </c>
      <c r="G343" s="5" t="n">
        <v>145</v>
      </c>
      <c r="H343" s="5" t="n">
        <v>5</v>
      </c>
      <c r="I343" s="5" t="n">
        <v>21</v>
      </c>
      <c r="J343" s="5" t="n">
        <v>1</v>
      </c>
      <c r="K343" s="5" t="n">
        <v>0</v>
      </c>
      <c r="L343" s="5" t="n">
        <v>0</v>
      </c>
      <c r="M343" s="5" t="n">
        <v>0.3</v>
      </c>
      <c r="N343" s="5" t="n">
        <v>0.3</v>
      </c>
      <c r="O343" s="5" t="n">
        <v>0</v>
      </c>
      <c r="P343" s="5" t="n">
        <v>0.6</v>
      </c>
      <c r="Q343" s="5" t="n">
        <v>0.2</v>
      </c>
      <c r="R343" s="5" t="n">
        <v>5</v>
      </c>
      <c r="S343" s="5" t="n">
        <v>0.35</v>
      </c>
      <c r="T343" s="5" t="n">
        <v>3</v>
      </c>
      <c r="U343" s="5" t="n">
        <v>0.6</v>
      </c>
      <c r="V343" s="5" t="n">
        <v>8</v>
      </c>
      <c r="W343" s="5" t="n">
        <v>0.8</v>
      </c>
      <c r="X343" s="5" t="n">
        <v>18</v>
      </c>
      <c r="Y343" s="5" t="n">
        <v>1.8</v>
      </c>
      <c r="Z343" s="5" t="n">
        <v>300</v>
      </c>
      <c r="AA343" s="7" t="n">
        <v>0.1</v>
      </c>
    </row>
    <row r="344" customFormat="false" ht="26.25" hidden="false" customHeight="true" outlineLevel="0" collapsed="false">
      <c r="A344" s="4" t="s">
        <v>395</v>
      </c>
      <c r="B344" s="4" t="s">
        <v>380</v>
      </c>
      <c r="C344" s="5" t="n">
        <v>6</v>
      </c>
      <c r="D344" s="5"/>
      <c r="E344" s="4" t="s">
        <v>29</v>
      </c>
      <c r="F344" s="6" t="s">
        <v>380</v>
      </c>
      <c r="G344" s="5" t="n">
        <v>407</v>
      </c>
      <c r="H344" s="5" t="n">
        <v>35</v>
      </c>
      <c r="I344" s="5" t="n">
        <v>22</v>
      </c>
      <c r="J344" s="5" t="n">
        <v>1.6</v>
      </c>
      <c r="K344" s="5" t="n">
        <v>0</v>
      </c>
      <c r="L344" s="5" t="n">
        <v>0</v>
      </c>
      <c r="M344" s="5" t="n">
        <v>0.3</v>
      </c>
      <c r="N344" s="5" t="n">
        <v>0.3</v>
      </c>
      <c r="O344" s="5" t="n">
        <v>0</v>
      </c>
      <c r="P344" s="5" t="n">
        <v>0.3</v>
      </c>
      <c r="Q344" s="5" t="n">
        <v>0.2</v>
      </c>
      <c r="R344" s="5" t="n">
        <v>4</v>
      </c>
      <c r="S344" s="5" t="n">
        <v>0.3</v>
      </c>
      <c r="T344" s="5" t="n">
        <v>3</v>
      </c>
      <c r="U344" s="5" t="n">
        <v>0.8</v>
      </c>
      <c r="V344" s="5" t="n">
        <v>15</v>
      </c>
      <c r="W344" s="5" t="n">
        <v>1.5</v>
      </c>
      <c r="X344" s="5" t="n">
        <v>20</v>
      </c>
      <c r="Y344" s="5" t="n">
        <v>2.5</v>
      </c>
      <c r="Z344" s="5" t="n">
        <v>280</v>
      </c>
      <c r="AA344" s="7" t="n">
        <v>0</v>
      </c>
    </row>
    <row r="345" customFormat="false" ht="26.25" hidden="false" customHeight="true" outlineLevel="0" collapsed="false">
      <c r="A345" s="4" t="s">
        <v>396</v>
      </c>
      <c r="B345" s="4" t="s">
        <v>380</v>
      </c>
      <c r="C345" s="5" t="n">
        <v>3</v>
      </c>
      <c r="D345" s="5"/>
      <c r="E345" s="4" t="s">
        <v>29</v>
      </c>
      <c r="F345" s="6" t="s">
        <v>380</v>
      </c>
      <c r="G345" s="5" t="n">
        <v>326</v>
      </c>
      <c r="H345" s="5" t="n">
        <v>32</v>
      </c>
      <c r="I345" s="5" t="n">
        <v>11</v>
      </c>
      <c r="J345" s="5" t="n">
        <v>1.5</v>
      </c>
      <c r="K345" s="5" t="n">
        <v>5000</v>
      </c>
      <c r="L345" s="5" t="n">
        <v>1</v>
      </c>
      <c r="M345" s="5" t="n">
        <v>0.4</v>
      </c>
      <c r="N345" s="5" t="n">
        <v>0.4</v>
      </c>
      <c r="O345" s="5" t="n">
        <v>3</v>
      </c>
      <c r="P345" s="5" t="n">
        <v>0.15</v>
      </c>
      <c r="Q345" s="5" t="n">
        <v>0.9</v>
      </c>
      <c r="R345" s="5" t="n">
        <v>4</v>
      </c>
      <c r="S345" s="5" t="n">
        <v>0.2</v>
      </c>
      <c r="T345" s="5" t="n">
        <v>60</v>
      </c>
      <c r="U345" s="5" t="n">
        <v>10</v>
      </c>
      <c r="V345" s="5" t="n">
        <v>15</v>
      </c>
      <c r="W345" s="5" t="n">
        <v>4</v>
      </c>
      <c r="X345" s="5" t="n">
        <v>15</v>
      </c>
      <c r="Y345" s="5" t="n">
        <v>2</v>
      </c>
      <c r="Z345" s="5" t="n">
        <v>180</v>
      </c>
      <c r="AA345" s="7" t="n">
        <v>0</v>
      </c>
    </row>
    <row r="346" customFormat="false" ht="26.25" hidden="false" customHeight="true" outlineLevel="0" collapsed="false">
      <c r="A346" s="4" t="s">
        <v>397</v>
      </c>
      <c r="B346" s="4" t="s">
        <v>380</v>
      </c>
      <c r="C346" s="5" t="n">
        <v>3</v>
      </c>
      <c r="D346" s="5"/>
      <c r="E346" s="4" t="s">
        <v>29</v>
      </c>
      <c r="F346" s="6" t="s">
        <v>380</v>
      </c>
      <c r="G346" s="5" t="n">
        <v>379</v>
      </c>
      <c r="H346" s="5" t="n">
        <v>35</v>
      </c>
      <c r="I346" s="5" t="n">
        <v>14</v>
      </c>
      <c r="J346" s="5" t="n">
        <v>0</v>
      </c>
      <c r="K346" s="5" t="n">
        <v>0</v>
      </c>
      <c r="L346" s="5" t="n">
        <v>0</v>
      </c>
      <c r="M346" s="5" t="n">
        <v>0.3</v>
      </c>
      <c r="N346" s="5" t="n">
        <v>0.3</v>
      </c>
      <c r="O346" s="5" t="n">
        <v>0</v>
      </c>
      <c r="P346" s="5" t="n">
        <v>0.05</v>
      </c>
      <c r="Q346" s="5" t="n">
        <v>0.15</v>
      </c>
      <c r="R346" s="5" t="n">
        <v>2</v>
      </c>
      <c r="S346" s="5" t="n">
        <v>0.1</v>
      </c>
      <c r="T346" s="5" t="n">
        <v>10</v>
      </c>
      <c r="U346" s="5" t="n">
        <v>3</v>
      </c>
      <c r="V346" s="5" t="n">
        <v>20</v>
      </c>
      <c r="W346" s="5" t="n">
        <v>15</v>
      </c>
      <c r="X346" s="5" t="n">
        <v>15</v>
      </c>
      <c r="Y346" s="5" t="n">
        <v>2</v>
      </c>
      <c r="Z346" s="5" t="n">
        <v>150</v>
      </c>
      <c r="AA346" s="7" t="n">
        <v>0</v>
      </c>
    </row>
    <row r="347" customFormat="false" ht="26.25" hidden="false" customHeight="true" outlineLevel="0" collapsed="false">
      <c r="A347" s="4" t="s">
        <v>398</v>
      </c>
      <c r="B347" s="4" t="s">
        <v>380</v>
      </c>
      <c r="C347" s="5" t="n">
        <v>5</v>
      </c>
      <c r="D347" s="5"/>
      <c r="E347" s="4" t="s">
        <v>29</v>
      </c>
      <c r="F347" s="6" t="s">
        <v>380</v>
      </c>
      <c r="G347" s="5" t="n">
        <v>288</v>
      </c>
      <c r="H347" s="5" t="n">
        <v>25</v>
      </c>
      <c r="I347" s="5" t="n">
        <v>15</v>
      </c>
      <c r="J347" s="5" t="n">
        <v>2</v>
      </c>
      <c r="K347" s="5" t="n">
        <v>0</v>
      </c>
      <c r="L347" s="5" t="n">
        <v>0</v>
      </c>
      <c r="M347" s="5" t="n">
        <v>0.3</v>
      </c>
      <c r="N347" s="5" t="n">
        <v>0.3</v>
      </c>
      <c r="O347" s="5" t="n">
        <v>0</v>
      </c>
      <c r="P347" s="5" t="n">
        <v>0.3</v>
      </c>
      <c r="Q347" s="5" t="n">
        <v>0.15</v>
      </c>
      <c r="R347" s="5" t="n">
        <v>3.5</v>
      </c>
      <c r="S347" s="5" t="n">
        <v>0.25</v>
      </c>
      <c r="T347" s="5" t="n">
        <v>3</v>
      </c>
      <c r="U347" s="5" t="n">
        <v>0.7</v>
      </c>
      <c r="V347" s="5" t="n">
        <v>12</v>
      </c>
      <c r="W347" s="5" t="n">
        <v>1</v>
      </c>
      <c r="X347" s="5" t="n">
        <v>15</v>
      </c>
      <c r="Y347" s="5" t="n">
        <v>1.8</v>
      </c>
      <c r="Z347" s="5" t="n">
        <v>220</v>
      </c>
      <c r="AA347" s="7" t="n">
        <v>0.1</v>
      </c>
    </row>
    <row r="348" customFormat="false" ht="26.25" hidden="false" customHeight="true" outlineLevel="0" collapsed="false">
      <c r="A348" s="4" t="s">
        <v>399</v>
      </c>
      <c r="B348" s="4" t="s">
        <v>380</v>
      </c>
      <c r="C348" s="5" t="n">
        <v>5.5</v>
      </c>
      <c r="D348" s="5"/>
      <c r="E348" s="4" t="s">
        <v>29</v>
      </c>
      <c r="F348" s="6" t="s">
        <v>380</v>
      </c>
      <c r="G348" s="5" t="n">
        <v>220</v>
      </c>
      <c r="H348" s="5" t="n">
        <v>13</v>
      </c>
      <c r="I348" s="5" t="n">
        <v>24</v>
      </c>
      <c r="J348" s="5" t="n">
        <v>0</v>
      </c>
      <c r="K348" s="5" t="n">
        <v>0</v>
      </c>
      <c r="L348" s="5" t="n">
        <v>0</v>
      </c>
      <c r="M348" s="5" t="n">
        <v>0</v>
      </c>
      <c r="N348" s="5" t="n">
        <v>0.3</v>
      </c>
      <c r="O348" s="5" t="n">
        <v>0</v>
      </c>
      <c r="P348" s="5" t="n">
        <v>0.02</v>
      </c>
      <c r="Q348" s="5" t="n">
        <v>0.2</v>
      </c>
      <c r="R348" s="5" t="n">
        <v>3.5</v>
      </c>
      <c r="S348" s="5" t="n">
        <v>0.25</v>
      </c>
      <c r="T348" s="5" t="n">
        <v>4</v>
      </c>
      <c r="U348" s="5" t="n">
        <v>2</v>
      </c>
      <c r="V348" s="5" t="n">
        <v>10</v>
      </c>
      <c r="W348" s="5" t="n">
        <v>3</v>
      </c>
      <c r="X348" s="5" t="n">
        <v>15</v>
      </c>
      <c r="Y348" s="5" t="n">
        <v>4</v>
      </c>
      <c r="Z348" s="5" t="n">
        <v>150</v>
      </c>
      <c r="AA348" s="7" t="n">
        <v>0</v>
      </c>
    </row>
    <row r="349" customFormat="false" ht="26.25" hidden="false" customHeight="true" outlineLevel="0" collapsed="false">
      <c r="A349" s="4" t="s">
        <v>400</v>
      </c>
      <c r="B349" s="4" t="s">
        <v>380</v>
      </c>
      <c r="C349" s="5" t="n">
        <v>6</v>
      </c>
      <c r="D349" s="5"/>
      <c r="E349" s="4" t="s">
        <v>29</v>
      </c>
      <c r="F349" s="6" t="s">
        <v>380</v>
      </c>
      <c r="G349" s="5" t="n">
        <v>455</v>
      </c>
      <c r="H349" s="5" t="n">
        <v>38</v>
      </c>
      <c r="I349" s="5" t="n">
        <v>24</v>
      </c>
      <c r="J349" s="5" t="n">
        <v>1.9</v>
      </c>
      <c r="K349" s="5" t="n">
        <v>0</v>
      </c>
      <c r="L349" s="5" t="n">
        <v>0</v>
      </c>
      <c r="M349" s="5" t="n">
        <v>0.3</v>
      </c>
      <c r="N349" s="5" t="n">
        <v>0.3</v>
      </c>
      <c r="O349" s="5" t="n">
        <v>0</v>
      </c>
      <c r="P349" s="5" t="n">
        <v>0.4</v>
      </c>
      <c r="Q349" s="5" t="n">
        <v>0.25</v>
      </c>
      <c r="R349" s="5" t="n">
        <v>5.5</v>
      </c>
      <c r="S349" s="5" t="n">
        <v>0.35</v>
      </c>
      <c r="T349" s="5" t="n">
        <v>3</v>
      </c>
      <c r="U349" s="5" t="n">
        <v>1</v>
      </c>
      <c r="V349" s="5" t="n">
        <v>15</v>
      </c>
      <c r="W349" s="5" t="n">
        <v>1.5</v>
      </c>
      <c r="X349" s="5" t="n">
        <v>20</v>
      </c>
      <c r="Y349" s="5" t="n">
        <v>2.5</v>
      </c>
      <c r="Z349" s="5" t="n">
        <v>320</v>
      </c>
      <c r="AA349" s="7" t="n">
        <v>0</v>
      </c>
    </row>
    <row r="350" customFormat="false" ht="26.25" hidden="false" customHeight="true" outlineLevel="0" collapsed="false">
      <c r="A350" s="4" t="s">
        <v>401</v>
      </c>
      <c r="B350" s="4" t="s">
        <v>380</v>
      </c>
      <c r="C350" s="5" t="n">
        <v>4.5</v>
      </c>
      <c r="D350" s="5"/>
      <c r="E350" s="4" t="s">
        <v>29</v>
      </c>
      <c r="F350" s="6" t="s">
        <v>380</v>
      </c>
      <c r="G350" s="5" t="n">
        <v>300</v>
      </c>
      <c r="H350" s="5" t="n">
        <v>27</v>
      </c>
      <c r="I350" s="5" t="n">
        <v>12</v>
      </c>
      <c r="J350" s="5" t="n">
        <v>2</v>
      </c>
      <c r="K350" s="5" t="n">
        <v>0</v>
      </c>
      <c r="L350" s="5" t="n">
        <v>0</v>
      </c>
      <c r="M350" s="5" t="n">
        <v>0.3</v>
      </c>
      <c r="N350" s="5" t="n">
        <v>0.3</v>
      </c>
      <c r="O350" s="5" t="n">
        <v>0</v>
      </c>
      <c r="P350" s="5" t="n">
        <v>0.2</v>
      </c>
      <c r="Q350" s="5" t="n">
        <v>0.1</v>
      </c>
      <c r="R350" s="5" t="n">
        <v>2.5</v>
      </c>
      <c r="S350" s="5" t="n">
        <v>0.15</v>
      </c>
      <c r="T350" s="5" t="n">
        <v>3</v>
      </c>
      <c r="U350" s="5" t="n">
        <v>0.6</v>
      </c>
      <c r="V350" s="5" t="n">
        <v>10</v>
      </c>
      <c r="W350" s="5" t="n">
        <v>1</v>
      </c>
      <c r="X350" s="5" t="n">
        <v>12</v>
      </c>
      <c r="Y350" s="5" t="n">
        <v>1.5</v>
      </c>
      <c r="Z350" s="5" t="n">
        <v>180</v>
      </c>
      <c r="AA350" s="7" t="n">
        <v>0.3</v>
      </c>
    </row>
    <row r="351" customFormat="false" ht="26.25" hidden="false" customHeight="true" outlineLevel="0" collapsed="false">
      <c r="A351" s="4" t="s">
        <v>402</v>
      </c>
      <c r="B351" s="4" t="s">
        <v>380</v>
      </c>
      <c r="C351" s="5" t="n">
        <v>4.8</v>
      </c>
      <c r="D351" s="5"/>
      <c r="E351" s="4" t="s">
        <v>29</v>
      </c>
      <c r="F351" s="6" t="s">
        <v>380</v>
      </c>
      <c r="G351" s="5" t="n">
        <v>184</v>
      </c>
      <c r="H351" s="5" t="n">
        <v>9</v>
      </c>
      <c r="I351" s="5" t="n">
        <v>24</v>
      </c>
      <c r="J351" s="5" t="n">
        <v>0</v>
      </c>
      <c r="K351" s="5" t="n">
        <v>0</v>
      </c>
      <c r="L351" s="5" t="n">
        <v>0</v>
      </c>
      <c r="M351" s="5" t="n">
        <v>0.5</v>
      </c>
      <c r="N351" s="5" t="n">
        <v>0.3</v>
      </c>
      <c r="O351" s="5" t="n">
        <v>0</v>
      </c>
      <c r="P351" s="5" t="n">
        <v>0.7</v>
      </c>
      <c r="Q351" s="5" t="n">
        <v>0.25</v>
      </c>
      <c r="R351" s="5" t="n">
        <v>6</v>
      </c>
      <c r="S351" s="5" t="n">
        <v>0.5</v>
      </c>
      <c r="T351" s="5" t="n">
        <v>3</v>
      </c>
      <c r="U351" s="5" t="n">
        <v>0.7</v>
      </c>
      <c r="V351" s="5" t="n">
        <v>10</v>
      </c>
      <c r="W351" s="5" t="n">
        <v>1</v>
      </c>
      <c r="X351" s="5" t="n">
        <v>20</v>
      </c>
      <c r="Y351" s="5" t="n">
        <v>2</v>
      </c>
      <c r="Z351" s="5" t="n">
        <v>350</v>
      </c>
      <c r="AA351" s="7" t="n">
        <v>0</v>
      </c>
    </row>
    <row r="352" customFormat="false" ht="15" hidden="false" customHeight="true" outlineLevel="0" collapsed="false">
      <c r="A352" s="4" t="s">
        <v>403</v>
      </c>
      <c r="B352" s="4" t="s">
        <v>404</v>
      </c>
      <c r="C352" s="5" t="n">
        <v>6</v>
      </c>
      <c r="D352" s="5"/>
      <c r="E352" s="4" t="s">
        <v>29</v>
      </c>
      <c r="F352" s="6" t="s">
        <v>404</v>
      </c>
      <c r="G352" s="5" t="n">
        <v>356</v>
      </c>
      <c r="H352" s="5" t="n">
        <v>27</v>
      </c>
      <c r="I352" s="5" t="n">
        <v>25</v>
      </c>
      <c r="J352" s="5" t="n">
        <v>2.2</v>
      </c>
      <c r="K352" s="5" t="n">
        <v>200</v>
      </c>
      <c r="L352" s="5" t="n">
        <v>0</v>
      </c>
      <c r="M352" s="5" t="n">
        <v>0.5</v>
      </c>
      <c r="N352" s="5" t="n">
        <v>0.5</v>
      </c>
      <c r="O352" s="5" t="n">
        <v>2</v>
      </c>
      <c r="P352" s="5" t="n">
        <v>0.03</v>
      </c>
      <c r="Q352" s="5" t="n">
        <v>0.35</v>
      </c>
      <c r="R352" s="5" t="n">
        <v>0.1</v>
      </c>
      <c r="S352" s="5" t="n">
        <v>0.08</v>
      </c>
      <c r="T352" s="5" t="n">
        <v>18</v>
      </c>
      <c r="U352" s="5" t="n">
        <v>1.5</v>
      </c>
      <c r="V352" s="5" t="n">
        <v>700</v>
      </c>
      <c r="W352" s="5" t="n">
        <v>0.3</v>
      </c>
      <c r="X352" s="5" t="n">
        <v>30</v>
      </c>
      <c r="Y352" s="5" t="n">
        <v>3</v>
      </c>
      <c r="Z352" s="5" t="n">
        <v>120</v>
      </c>
      <c r="AA352" s="7" t="n">
        <v>0.3</v>
      </c>
    </row>
    <row r="353" customFormat="false" ht="15" hidden="false" customHeight="true" outlineLevel="0" collapsed="false">
      <c r="A353" s="4" t="s">
        <v>405</v>
      </c>
      <c r="B353" s="4" t="s">
        <v>404</v>
      </c>
      <c r="C353" s="5" t="n">
        <v>5.8</v>
      </c>
      <c r="D353" s="5"/>
      <c r="E353" s="4" t="s">
        <v>29</v>
      </c>
      <c r="F353" s="6" t="s">
        <v>404</v>
      </c>
      <c r="G353" s="5" t="n">
        <v>330</v>
      </c>
      <c r="H353" s="5" t="n">
        <v>24</v>
      </c>
      <c r="I353" s="5" t="n">
        <v>26</v>
      </c>
      <c r="J353" s="5" t="n">
        <v>1.4</v>
      </c>
      <c r="K353" s="5" t="n">
        <v>180</v>
      </c>
      <c r="L353" s="5" t="n">
        <v>0</v>
      </c>
      <c r="M353" s="5" t="n">
        <v>0.5</v>
      </c>
      <c r="N353" s="5" t="n">
        <v>0.5</v>
      </c>
      <c r="O353" s="5" t="n">
        <v>2</v>
      </c>
      <c r="P353" s="5" t="n">
        <v>0.03</v>
      </c>
      <c r="Q353" s="5" t="n">
        <v>0.33</v>
      </c>
      <c r="R353" s="5" t="n">
        <v>0.1</v>
      </c>
      <c r="S353" s="5" t="n">
        <v>0.08</v>
      </c>
      <c r="T353" s="5" t="n">
        <v>18</v>
      </c>
      <c r="U353" s="5" t="n">
        <v>1.4</v>
      </c>
      <c r="V353" s="5" t="n">
        <v>750</v>
      </c>
      <c r="W353" s="5" t="n">
        <v>0.3</v>
      </c>
      <c r="X353" s="5" t="n">
        <v>30</v>
      </c>
      <c r="Y353" s="5" t="n">
        <v>3.2</v>
      </c>
      <c r="Z353" s="5" t="n">
        <v>110</v>
      </c>
      <c r="AA353" s="7" t="n">
        <v>0.2</v>
      </c>
    </row>
    <row r="354" customFormat="false" ht="15" hidden="false" customHeight="true" outlineLevel="0" collapsed="false">
      <c r="A354" s="4" t="s">
        <v>406</v>
      </c>
      <c r="B354" s="4" t="s">
        <v>404</v>
      </c>
      <c r="C354" s="5" t="n">
        <v>5</v>
      </c>
      <c r="D354" s="5"/>
      <c r="E354" s="4" t="s">
        <v>29</v>
      </c>
      <c r="F354" s="6" t="s">
        <v>404</v>
      </c>
      <c r="G354" s="5" t="n">
        <v>280</v>
      </c>
      <c r="H354" s="5" t="n">
        <v>17</v>
      </c>
      <c r="I354" s="5" t="n">
        <v>22</v>
      </c>
      <c r="J354" s="5" t="n">
        <v>2.2</v>
      </c>
      <c r="K354" s="5" t="n">
        <v>150</v>
      </c>
      <c r="L354" s="5" t="n">
        <v>0</v>
      </c>
      <c r="M354" s="5" t="n">
        <v>0.3</v>
      </c>
      <c r="N354" s="5" t="n">
        <v>0.3</v>
      </c>
      <c r="O354" s="5" t="n">
        <v>2</v>
      </c>
      <c r="P354" s="5" t="n">
        <v>0.02</v>
      </c>
      <c r="Q354" s="5" t="n">
        <v>0.25</v>
      </c>
      <c r="R354" s="5" t="n">
        <v>0.1</v>
      </c>
      <c r="S354" s="5" t="n">
        <v>0.06</v>
      </c>
      <c r="T354" s="5" t="n">
        <v>10</v>
      </c>
      <c r="U354" s="5" t="n">
        <v>1</v>
      </c>
      <c r="V354" s="5" t="n">
        <v>505</v>
      </c>
      <c r="W354" s="5" t="n">
        <v>0.3</v>
      </c>
      <c r="X354" s="5" t="n">
        <v>20</v>
      </c>
      <c r="Y354" s="5" t="n">
        <v>2.9</v>
      </c>
      <c r="Z354" s="5" t="n">
        <v>95</v>
      </c>
      <c r="AA354" s="7" t="n">
        <v>0.3</v>
      </c>
    </row>
    <row r="355" customFormat="false" ht="15" hidden="false" customHeight="true" outlineLevel="0" collapsed="false">
      <c r="A355" s="4" t="s">
        <v>407</v>
      </c>
      <c r="B355" s="4" t="s">
        <v>404</v>
      </c>
      <c r="C355" s="5" t="n">
        <v>5</v>
      </c>
      <c r="D355" s="5"/>
      <c r="E355" s="4" t="s">
        <v>29</v>
      </c>
      <c r="F355" s="6" t="s">
        <v>404</v>
      </c>
      <c r="G355" s="5" t="n">
        <v>300</v>
      </c>
      <c r="H355" s="5" t="n">
        <v>24</v>
      </c>
      <c r="I355" s="5" t="n">
        <v>15</v>
      </c>
      <c r="J355" s="5" t="n">
        <v>2</v>
      </c>
      <c r="K355" s="5" t="n">
        <v>200</v>
      </c>
      <c r="L355" s="5" t="n">
        <v>0</v>
      </c>
      <c r="M355" s="5" t="n">
        <v>0.3</v>
      </c>
      <c r="N355" s="5" t="n">
        <v>0.3</v>
      </c>
      <c r="O355" s="5" t="n">
        <v>2</v>
      </c>
      <c r="P355" s="5" t="n">
        <v>0.02</v>
      </c>
      <c r="Q355" s="5" t="n">
        <v>0.2</v>
      </c>
      <c r="R355" s="5" t="n">
        <v>0.1</v>
      </c>
      <c r="S355" s="5" t="n">
        <v>0.05</v>
      </c>
      <c r="T355" s="5" t="n">
        <v>10</v>
      </c>
      <c r="U355" s="5" t="n">
        <v>0.8</v>
      </c>
      <c r="V355" s="5" t="n">
        <v>300</v>
      </c>
      <c r="W355" s="5" t="n">
        <v>0.2</v>
      </c>
      <c r="X355" s="5" t="n">
        <v>15</v>
      </c>
      <c r="Y355" s="5" t="n">
        <v>2</v>
      </c>
      <c r="Z355" s="5" t="n">
        <v>90</v>
      </c>
      <c r="AA355" s="7" t="n">
        <v>0.3</v>
      </c>
    </row>
    <row r="356" customFormat="false" ht="15" hidden="false" customHeight="true" outlineLevel="0" collapsed="false">
      <c r="A356" s="4" t="s">
        <v>408</v>
      </c>
      <c r="B356" s="4" t="s">
        <v>404</v>
      </c>
      <c r="C356" s="5" t="n">
        <v>3.5</v>
      </c>
      <c r="D356" s="5"/>
      <c r="E356" s="4" t="s">
        <v>29</v>
      </c>
      <c r="F356" s="6" t="s">
        <v>404</v>
      </c>
      <c r="G356" s="5" t="n">
        <v>174</v>
      </c>
      <c r="H356" s="5" t="n">
        <v>13</v>
      </c>
      <c r="I356" s="5" t="n">
        <v>9</v>
      </c>
      <c r="J356" s="5" t="n">
        <v>3</v>
      </c>
      <c r="K356" s="5" t="n">
        <v>120</v>
      </c>
      <c r="L356" s="5" t="n">
        <v>0</v>
      </c>
      <c r="M356" s="5" t="n">
        <v>0.2</v>
      </c>
      <c r="N356" s="5" t="n">
        <v>0.2</v>
      </c>
      <c r="O356" s="5" t="n">
        <v>1</v>
      </c>
      <c r="P356" s="5" t="n">
        <v>0.02</v>
      </c>
      <c r="Q356" s="5" t="n">
        <v>0.15</v>
      </c>
      <c r="R356" s="5" t="n">
        <v>0.1</v>
      </c>
      <c r="S356" s="5" t="n">
        <v>0.03</v>
      </c>
      <c r="T356" s="5" t="n">
        <v>10</v>
      </c>
      <c r="U356" s="5" t="n">
        <v>0.3</v>
      </c>
      <c r="V356" s="5" t="n">
        <v>207</v>
      </c>
      <c r="W356" s="5" t="n">
        <v>0.2</v>
      </c>
      <c r="X356" s="5" t="n">
        <v>10</v>
      </c>
      <c r="Y356" s="5" t="n">
        <v>0.5</v>
      </c>
      <c r="Z356" s="5" t="n">
        <v>105</v>
      </c>
      <c r="AA356" s="7" t="n">
        <v>0.4</v>
      </c>
    </row>
    <row r="357" customFormat="false" ht="15" hidden="false" customHeight="true" outlineLevel="0" collapsed="false">
      <c r="A357" s="4" t="s">
        <v>409</v>
      </c>
      <c r="B357" s="4" t="s">
        <v>404</v>
      </c>
      <c r="C357" s="5" t="n">
        <v>6</v>
      </c>
      <c r="D357" s="5"/>
      <c r="E357" s="4" t="s">
        <v>29</v>
      </c>
      <c r="F357" s="6" t="s">
        <v>404</v>
      </c>
      <c r="G357" s="5" t="n">
        <v>334</v>
      </c>
      <c r="H357" s="5" t="n">
        <v>28</v>
      </c>
      <c r="I357" s="5" t="n">
        <v>21</v>
      </c>
      <c r="J357" s="5" t="n">
        <v>0.5</v>
      </c>
      <c r="K357" s="5" t="n">
        <v>250</v>
      </c>
      <c r="L357" s="5" t="n">
        <v>0</v>
      </c>
      <c r="M357" s="5" t="n">
        <v>0.6</v>
      </c>
      <c r="N357" s="5" t="n">
        <v>0.5</v>
      </c>
      <c r="O357" s="5" t="n">
        <v>2</v>
      </c>
      <c r="P357" s="5" t="n">
        <v>0.07</v>
      </c>
      <c r="Q357" s="5" t="n">
        <v>0.52</v>
      </c>
      <c r="R357" s="5" t="n">
        <v>0.6</v>
      </c>
      <c r="S357" s="5" t="n">
        <v>0.2</v>
      </c>
      <c r="T357" s="5" t="n">
        <v>65</v>
      </c>
      <c r="U357" s="5" t="n">
        <v>1.6</v>
      </c>
      <c r="V357" s="5" t="n">
        <v>184</v>
      </c>
      <c r="W357" s="5" t="n">
        <v>0.5</v>
      </c>
      <c r="X357" s="5" t="n">
        <v>20</v>
      </c>
      <c r="Y357" s="5" t="n">
        <v>2.4</v>
      </c>
      <c r="Z357" s="5" t="n">
        <v>150</v>
      </c>
      <c r="AA357" s="7" t="n">
        <v>0.1</v>
      </c>
    </row>
    <row r="358" customFormat="false" ht="15" hidden="false" customHeight="true" outlineLevel="0" collapsed="false">
      <c r="A358" s="4" t="s">
        <v>410</v>
      </c>
      <c r="B358" s="4" t="s">
        <v>404</v>
      </c>
      <c r="C358" s="5" t="n">
        <v>6</v>
      </c>
      <c r="D358" s="5"/>
      <c r="E358" s="4" t="s">
        <v>29</v>
      </c>
      <c r="F358" s="6" t="s">
        <v>404</v>
      </c>
      <c r="G358" s="5" t="n">
        <v>300</v>
      </c>
      <c r="H358" s="5" t="n">
        <v>24</v>
      </c>
      <c r="I358" s="5" t="n">
        <v>20</v>
      </c>
      <c r="J358" s="5" t="n">
        <v>0.5</v>
      </c>
      <c r="K358" s="5" t="n">
        <v>240</v>
      </c>
      <c r="L358" s="5" t="n">
        <v>0</v>
      </c>
      <c r="M358" s="5" t="n">
        <v>0.6</v>
      </c>
      <c r="N358" s="5" t="n">
        <v>0.5</v>
      </c>
      <c r="O358" s="5" t="n">
        <v>2</v>
      </c>
      <c r="P358" s="5" t="n">
        <v>0.06</v>
      </c>
      <c r="Q358" s="5" t="n">
        <v>0.49</v>
      </c>
      <c r="R358" s="5" t="n">
        <v>0.6</v>
      </c>
      <c r="S358" s="5" t="n">
        <v>0.2</v>
      </c>
      <c r="T358" s="5" t="n">
        <v>62</v>
      </c>
      <c r="U358" s="5" t="n">
        <v>1.3</v>
      </c>
      <c r="V358" s="5" t="n">
        <v>388</v>
      </c>
      <c r="W358" s="5" t="n">
        <v>0.3</v>
      </c>
      <c r="X358" s="5" t="n">
        <v>20</v>
      </c>
      <c r="Y358" s="5" t="n">
        <v>2.5</v>
      </c>
      <c r="Z358" s="5" t="n">
        <v>190</v>
      </c>
      <c r="AA358" s="7" t="n">
        <v>0.1</v>
      </c>
    </row>
    <row r="359" customFormat="false" ht="15" hidden="false" customHeight="true" outlineLevel="0" collapsed="false">
      <c r="A359" s="4" t="s">
        <v>411</v>
      </c>
      <c r="B359" s="4" t="s">
        <v>404</v>
      </c>
      <c r="C359" s="5" t="n">
        <v>6.5</v>
      </c>
      <c r="D359" s="5"/>
      <c r="E359" s="4" t="s">
        <v>29</v>
      </c>
      <c r="F359" s="6" t="s">
        <v>404</v>
      </c>
      <c r="G359" s="5" t="n">
        <v>353</v>
      </c>
      <c r="H359" s="5" t="n">
        <v>29</v>
      </c>
      <c r="I359" s="5" t="n">
        <v>21</v>
      </c>
      <c r="J359" s="5" t="n">
        <v>2.3</v>
      </c>
      <c r="K359" s="5" t="n">
        <v>200</v>
      </c>
      <c r="L359" s="5" t="n">
        <v>0</v>
      </c>
      <c r="M359" s="5" t="n">
        <v>0.3</v>
      </c>
      <c r="N359" s="5" t="n">
        <v>0.3</v>
      </c>
      <c r="O359" s="5" t="n">
        <v>2</v>
      </c>
      <c r="P359" s="5" t="n">
        <v>0.03</v>
      </c>
      <c r="Q359" s="5" t="n">
        <v>0.38</v>
      </c>
      <c r="R359" s="5" t="n">
        <v>1</v>
      </c>
      <c r="S359" s="5" t="n">
        <v>0.2</v>
      </c>
      <c r="T359" s="5" t="n">
        <v>32</v>
      </c>
      <c r="U359" s="5" t="n">
        <v>1</v>
      </c>
      <c r="V359" s="5" t="n">
        <v>528</v>
      </c>
      <c r="W359" s="5" t="n">
        <v>0.3</v>
      </c>
      <c r="X359" s="5" t="n">
        <v>23</v>
      </c>
      <c r="Y359" s="5" t="n">
        <v>2.7</v>
      </c>
      <c r="Z359" s="5" t="n">
        <v>180</v>
      </c>
      <c r="AA359" s="7" t="n">
        <v>0</v>
      </c>
    </row>
    <row r="360" customFormat="false" ht="15" hidden="false" customHeight="true" outlineLevel="0" collapsed="false">
      <c r="A360" s="4" t="s">
        <v>412</v>
      </c>
      <c r="B360" s="4" t="s">
        <v>404</v>
      </c>
      <c r="C360" s="5" t="n">
        <v>5.5</v>
      </c>
      <c r="D360" s="5"/>
      <c r="E360" s="4" t="s">
        <v>29</v>
      </c>
      <c r="F360" s="6" t="s">
        <v>404</v>
      </c>
      <c r="G360" s="5" t="n">
        <v>264</v>
      </c>
      <c r="H360" s="5" t="n">
        <v>21</v>
      </c>
      <c r="I360" s="5" t="n">
        <v>18</v>
      </c>
      <c r="J360" s="5" t="n">
        <v>0.1</v>
      </c>
      <c r="K360" s="5" t="n">
        <v>180</v>
      </c>
      <c r="L360" s="5" t="n">
        <v>0</v>
      </c>
      <c r="M360" s="5" t="n">
        <v>0.2</v>
      </c>
      <c r="N360" s="5" t="n">
        <v>0.3</v>
      </c>
      <c r="O360" s="5" t="n">
        <v>2</v>
      </c>
      <c r="P360" s="5" t="n">
        <v>0.04</v>
      </c>
      <c r="Q360" s="5" t="n">
        <v>0.3</v>
      </c>
      <c r="R360" s="5" t="n">
        <v>0.7</v>
      </c>
      <c r="S360" s="5" t="n">
        <v>0.1</v>
      </c>
      <c r="T360" s="5" t="n">
        <v>10</v>
      </c>
      <c r="U360" s="5" t="n">
        <v>0.2</v>
      </c>
      <c r="V360" s="5" t="n">
        <v>140</v>
      </c>
      <c r="W360" s="5" t="n">
        <v>1</v>
      </c>
      <c r="X360" s="5" t="n">
        <v>20</v>
      </c>
      <c r="Y360" s="5" t="n">
        <v>0.7</v>
      </c>
      <c r="Z360" s="5" t="n">
        <v>140</v>
      </c>
      <c r="AA360" s="7" t="n">
        <v>0</v>
      </c>
    </row>
    <row r="361" customFormat="false" ht="15" hidden="false" customHeight="true" outlineLevel="0" collapsed="false">
      <c r="A361" s="4" t="s">
        <v>413</v>
      </c>
      <c r="B361" s="4" t="s">
        <v>404</v>
      </c>
      <c r="C361" s="5" t="n">
        <v>6</v>
      </c>
      <c r="D361" s="5"/>
      <c r="E361" s="4" t="s">
        <v>29</v>
      </c>
      <c r="F361" s="6" t="s">
        <v>404</v>
      </c>
      <c r="G361" s="5" t="n">
        <v>264</v>
      </c>
      <c r="H361" s="5" t="n">
        <v>21</v>
      </c>
      <c r="I361" s="5" t="n">
        <v>14</v>
      </c>
      <c r="J361" s="5" t="n">
        <v>4</v>
      </c>
      <c r="K361" s="5" t="n">
        <v>180</v>
      </c>
      <c r="L361" s="5" t="n">
        <v>0</v>
      </c>
      <c r="M361" s="5" t="n">
        <v>0.2</v>
      </c>
      <c r="N361" s="5" t="n">
        <v>0.4</v>
      </c>
      <c r="O361" s="5" t="n">
        <v>2</v>
      </c>
      <c r="P361" s="5" t="n">
        <v>0.03</v>
      </c>
      <c r="Q361" s="5" t="n">
        <v>0.3</v>
      </c>
      <c r="R361" s="5" t="n">
        <v>0.3</v>
      </c>
      <c r="S361" s="5" t="n">
        <v>0.15</v>
      </c>
      <c r="T361" s="5" t="n">
        <v>32</v>
      </c>
      <c r="U361" s="5" t="n">
        <v>1.3</v>
      </c>
      <c r="V361" s="5" t="n">
        <v>490</v>
      </c>
      <c r="W361" s="5" t="n">
        <v>0.7</v>
      </c>
      <c r="X361" s="5" t="n">
        <v>20</v>
      </c>
      <c r="Y361" s="5" t="n">
        <v>2.9</v>
      </c>
      <c r="Z361" s="5" t="n">
        <v>95</v>
      </c>
      <c r="AA361" s="7" t="n">
        <v>0.1</v>
      </c>
    </row>
    <row r="362" customFormat="false" ht="15" hidden="false" customHeight="true" outlineLevel="0" collapsed="false">
      <c r="A362" s="4" t="s">
        <v>414</v>
      </c>
      <c r="B362" s="4" t="s">
        <v>404</v>
      </c>
      <c r="C362" s="5" t="n">
        <v>3</v>
      </c>
      <c r="D362" s="5"/>
      <c r="E362" s="4" t="s">
        <v>29</v>
      </c>
      <c r="F362" s="6" t="s">
        <v>404</v>
      </c>
      <c r="G362" s="5" t="n">
        <v>98</v>
      </c>
      <c r="H362" s="5" t="n">
        <v>4.3</v>
      </c>
      <c r="I362" s="5" t="n">
        <v>11</v>
      </c>
      <c r="J362" s="5" t="n">
        <v>3.4</v>
      </c>
      <c r="K362" s="5" t="n">
        <v>40</v>
      </c>
      <c r="L362" s="5" t="n">
        <v>0</v>
      </c>
      <c r="M362" s="5" t="n">
        <v>0.1</v>
      </c>
      <c r="N362" s="5" t="n">
        <v>0.1</v>
      </c>
      <c r="O362" s="5" t="n">
        <v>1</v>
      </c>
      <c r="P362" s="5" t="n">
        <v>0.02</v>
      </c>
      <c r="Q362" s="5" t="n">
        <v>0.16</v>
      </c>
      <c r="R362" s="5" t="n">
        <v>0.1</v>
      </c>
      <c r="S362" s="5" t="n">
        <v>0.05</v>
      </c>
      <c r="T362" s="5" t="n">
        <v>12</v>
      </c>
      <c r="U362" s="5" t="n">
        <v>0.4</v>
      </c>
      <c r="V362" s="5" t="n">
        <v>83</v>
      </c>
      <c r="W362" s="5" t="n">
        <v>0.1</v>
      </c>
      <c r="X362" s="5" t="n">
        <v>8</v>
      </c>
      <c r="Y362" s="5" t="n">
        <v>0.4</v>
      </c>
      <c r="Z362" s="5" t="n">
        <v>86</v>
      </c>
      <c r="AA362" s="7" t="n">
        <v>0.1</v>
      </c>
    </row>
    <row r="363" customFormat="false" ht="15" hidden="false" customHeight="true" outlineLevel="0" collapsed="false">
      <c r="A363" s="4" t="s">
        <v>415</v>
      </c>
      <c r="B363" s="4" t="s">
        <v>404</v>
      </c>
      <c r="C363" s="5" t="n">
        <v>5</v>
      </c>
      <c r="D363" s="5"/>
      <c r="E363" s="4" t="s">
        <v>29</v>
      </c>
      <c r="F363" s="6" t="s">
        <v>404</v>
      </c>
      <c r="G363" s="5" t="n">
        <v>280</v>
      </c>
      <c r="H363" s="5" t="n">
        <v>22</v>
      </c>
      <c r="I363" s="5" t="n">
        <v>16</v>
      </c>
      <c r="J363" s="5" t="n">
        <v>5</v>
      </c>
      <c r="K363" s="5" t="n">
        <v>180</v>
      </c>
      <c r="L363" s="5" t="n">
        <v>0</v>
      </c>
      <c r="M363" s="5" t="n">
        <v>0.3</v>
      </c>
      <c r="N363" s="5" t="n">
        <v>0.3</v>
      </c>
      <c r="O363" s="5" t="n">
        <v>2</v>
      </c>
      <c r="P363" s="5" t="n">
        <v>0.02</v>
      </c>
      <c r="Q363" s="5" t="n">
        <v>0.25</v>
      </c>
      <c r="R363" s="5" t="n">
        <v>0.1</v>
      </c>
      <c r="S363" s="5" t="n">
        <v>0.06</v>
      </c>
      <c r="T363" s="5" t="n">
        <v>10</v>
      </c>
      <c r="U363" s="5" t="n">
        <v>1</v>
      </c>
      <c r="V363" s="5" t="n">
        <v>500</v>
      </c>
      <c r="W363" s="5" t="n">
        <v>0.3</v>
      </c>
      <c r="X363" s="5" t="n">
        <v>20</v>
      </c>
      <c r="Y363" s="5" t="n">
        <v>2.5</v>
      </c>
      <c r="Z363" s="5" t="n">
        <v>150</v>
      </c>
      <c r="AA363" s="7" t="n">
        <v>0.1</v>
      </c>
    </row>
    <row r="364" customFormat="false" ht="15" hidden="false" customHeight="true" outlineLevel="0" collapsed="false">
      <c r="A364" s="4" t="s">
        <v>416</v>
      </c>
      <c r="B364" s="4" t="s">
        <v>404</v>
      </c>
      <c r="C364" s="5" t="n">
        <v>5.8</v>
      </c>
      <c r="D364" s="5"/>
      <c r="E364" s="4" t="s">
        <v>29</v>
      </c>
      <c r="F364" s="6" t="s">
        <v>404</v>
      </c>
      <c r="G364" s="5" t="n">
        <v>340</v>
      </c>
      <c r="H364" s="5" t="n">
        <v>27</v>
      </c>
      <c r="I364" s="5" t="n">
        <v>25</v>
      </c>
      <c r="J364" s="5" t="n">
        <v>0.5</v>
      </c>
      <c r="K364" s="5" t="n">
        <v>200</v>
      </c>
      <c r="L364" s="5" t="n">
        <v>0</v>
      </c>
      <c r="M364" s="5" t="n">
        <v>0.5</v>
      </c>
      <c r="N364" s="5" t="n">
        <v>0.5</v>
      </c>
      <c r="O364" s="5" t="n">
        <v>2</v>
      </c>
      <c r="P364" s="5" t="n">
        <v>0.03</v>
      </c>
      <c r="Q364" s="5" t="n">
        <v>0.35</v>
      </c>
      <c r="R364" s="5" t="n">
        <v>0.1</v>
      </c>
      <c r="S364" s="5" t="n">
        <v>0.08</v>
      </c>
      <c r="T364" s="5" t="n">
        <v>18</v>
      </c>
      <c r="U364" s="5" t="n">
        <v>1.5</v>
      </c>
      <c r="V364" s="5" t="n">
        <v>800</v>
      </c>
      <c r="W364" s="5" t="n">
        <v>0.3</v>
      </c>
      <c r="X364" s="5" t="n">
        <v>30</v>
      </c>
      <c r="Y364" s="5" t="n">
        <v>3.5</v>
      </c>
      <c r="Z364" s="5" t="n">
        <v>110</v>
      </c>
      <c r="AA364" s="7" t="n">
        <v>0.1</v>
      </c>
    </row>
    <row r="365" customFormat="false" ht="15" hidden="false" customHeight="true" outlineLevel="0" collapsed="false">
      <c r="A365" s="4" t="s">
        <v>417</v>
      </c>
      <c r="B365" s="4" t="s">
        <v>404</v>
      </c>
      <c r="C365" s="5" t="n">
        <v>6.2</v>
      </c>
      <c r="D365" s="5"/>
      <c r="E365" s="4" t="s">
        <v>29</v>
      </c>
      <c r="F365" s="6" t="s">
        <v>404</v>
      </c>
      <c r="G365" s="5" t="n">
        <v>390</v>
      </c>
      <c r="H365" s="5" t="n">
        <v>31</v>
      </c>
      <c r="I365" s="5" t="n">
        <v>27</v>
      </c>
      <c r="J365" s="5" t="n">
        <v>0.5</v>
      </c>
      <c r="K365" s="5" t="n">
        <v>220</v>
      </c>
      <c r="L365" s="5" t="n">
        <v>0</v>
      </c>
      <c r="M365" s="5" t="n">
        <v>0.6</v>
      </c>
      <c r="N365" s="5" t="n">
        <v>0.5</v>
      </c>
      <c r="O365" s="5" t="n">
        <v>2</v>
      </c>
      <c r="P365" s="5" t="n">
        <v>0.03</v>
      </c>
      <c r="Q365" s="5" t="n">
        <v>0.35</v>
      </c>
      <c r="R365" s="5" t="n">
        <v>0.1</v>
      </c>
      <c r="S365" s="5" t="n">
        <v>0.08</v>
      </c>
      <c r="T365" s="5" t="n">
        <v>18</v>
      </c>
      <c r="U365" s="5" t="n">
        <v>1.6</v>
      </c>
      <c r="V365" s="5" t="n">
        <v>900</v>
      </c>
      <c r="W365" s="5" t="n">
        <v>0.3</v>
      </c>
      <c r="X365" s="5" t="n">
        <v>32</v>
      </c>
      <c r="Y365" s="5" t="n">
        <v>3.6</v>
      </c>
      <c r="Z365" s="5" t="n">
        <v>100</v>
      </c>
      <c r="AA365" s="7" t="n">
        <v>0</v>
      </c>
    </row>
    <row r="366" customFormat="false" ht="15" hidden="false" customHeight="true" outlineLevel="0" collapsed="false">
      <c r="A366" s="4" t="s">
        <v>418</v>
      </c>
      <c r="B366" s="4" t="s">
        <v>404</v>
      </c>
      <c r="C366" s="5" t="n">
        <v>6</v>
      </c>
      <c r="D366" s="5"/>
      <c r="E366" s="4" t="s">
        <v>29</v>
      </c>
      <c r="F366" s="6" t="s">
        <v>404</v>
      </c>
      <c r="G366" s="5" t="n">
        <v>330</v>
      </c>
      <c r="H366" s="5" t="n">
        <v>25</v>
      </c>
      <c r="I366" s="5" t="n">
        <v>25</v>
      </c>
      <c r="J366" s="5" t="n">
        <v>2</v>
      </c>
      <c r="K366" s="5" t="n">
        <v>150</v>
      </c>
      <c r="L366" s="5" t="n">
        <v>0</v>
      </c>
      <c r="M366" s="5" t="n">
        <v>0.3</v>
      </c>
      <c r="N366" s="5" t="n">
        <v>0.3</v>
      </c>
      <c r="O366" s="5" t="n">
        <v>2</v>
      </c>
      <c r="P366" s="5" t="n">
        <v>0.02</v>
      </c>
      <c r="Q366" s="5" t="n">
        <v>0.3</v>
      </c>
      <c r="R366" s="5" t="n">
        <v>0.1</v>
      </c>
      <c r="S366" s="5" t="n">
        <v>0.06</v>
      </c>
      <c r="T366" s="5" t="n">
        <v>10</v>
      </c>
      <c r="U366" s="5" t="n">
        <v>1</v>
      </c>
      <c r="V366" s="5" t="n">
        <v>700</v>
      </c>
      <c r="W366" s="5" t="n">
        <v>0.4</v>
      </c>
      <c r="X366" s="5" t="n">
        <v>25</v>
      </c>
      <c r="Y366" s="5" t="n">
        <v>2.8</v>
      </c>
      <c r="Z366" s="5" t="n">
        <v>95</v>
      </c>
      <c r="AA366" s="7" t="n">
        <v>0.3</v>
      </c>
    </row>
    <row r="367" customFormat="false" ht="15" hidden="false" customHeight="true" outlineLevel="0" collapsed="false">
      <c r="A367" s="4" t="s">
        <v>419</v>
      </c>
      <c r="B367" s="4" t="s">
        <v>404</v>
      </c>
      <c r="C367" s="5" t="n">
        <v>6</v>
      </c>
      <c r="D367" s="5"/>
      <c r="E367" s="4" t="s">
        <v>29</v>
      </c>
      <c r="F367" s="6" t="s">
        <v>404</v>
      </c>
      <c r="G367" s="5" t="n">
        <v>351</v>
      </c>
      <c r="H367" s="5" t="n">
        <v>27</v>
      </c>
      <c r="I367" s="5" t="n">
        <v>26</v>
      </c>
      <c r="J367" s="5" t="n">
        <v>2.1</v>
      </c>
      <c r="K367" s="5" t="n">
        <v>200</v>
      </c>
      <c r="L367" s="5" t="n">
        <v>0</v>
      </c>
      <c r="M367" s="5" t="n">
        <v>0.5</v>
      </c>
      <c r="N367" s="5" t="n">
        <v>0.5</v>
      </c>
      <c r="O367" s="5" t="n">
        <v>2</v>
      </c>
      <c r="P367" s="5" t="n">
        <v>0.03</v>
      </c>
      <c r="Q367" s="5" t="n">
        <v>0.34</v>
      </c>
      <c r="R367" s="5" t="n">
        <v>0.1</v>
      </c>
      <c r="S367" s="5" t="n">
        <v>0.08</v>
      </c>
      <c r="T367" s="5" t="n">
        <v>18</v>
      </c>
      <c r="U367" s="5" t="n">
        <v>1.4</v>
      </c>
      <c r="V367" s="5" t="n">
        <v>756</v>
      </c>
      <c r="W367" s="5" t="n">
        <v>0.5</v>
      </c>
      <c r="X367" s="5" t="n">
        <v>30</v>
      </c>
      <c r="Y367" s="5" t="n">
        <v>3.5</v>
      </c>
      <c r="Z367" s="5" t="n">
        <v>140</v>
      </c>
      <c r="AA367" s="7" t="n">
        <v>0.3</v>
      </c>
    </row>
    <row r="368" customFormat="false" ht="15" hidden="false" customHeight="true" outlineLevel="0" collapsed="false">
      <c r="A368" s="4" t="s">
        <v>420</v>
      </c>
      <c r="B368" s="4" t="s">
        <v>404</v>
      </c>
      <c r="C368" s="5" t="n">
        <v>4.5</v>
      </c>
      <c r="D368" s="5"/>
      <c r="E368" s="4" t="s">
        <v>29</v>
      </c>
      <c r="F368" s="6" t="s">
        <v>404</v>
      </c>
      <c r="G368" s="5" t="n">
        <v>429</v>
      </c>
      <c r="H368" s="5" t="n">
        <v>44</v>
      </c>
      <c r="I368" s="5" t="n">
        <v>4.8</v>
      </c>
      <c r="J368" s="5" t="n">
        <v>4.8</v>
      </c>
      <c r="K368" s="5" t="n">
        <v>400</v>
      </c>
      <c r="L368" s="5" t="n">
        <v>0</v>
      </c>
      <c r="M368" s="5" t="n">
        <v>0.3</v>
      </c>
      <c r="N368" s="5" t="n">
        <v>0.3</v>
      </c>
      <c r="O368" s="5" t="n">
        <v>2</v>
      </c>
      <c r="P368" s="5" t="n">
        <v>0.02</v>
      </c>
      <c r="Q368" s="5" t="n">
        <v>0.1</v>
      </c>
      <c r="R368" s="5" t="n">
        <v>0.1</v>
      </c>
      <c r="S368" s="5" t="n">
        <v>0.03</v>
      </c>
      <c r="T368" s="5" t="n">
        <v>5</v>
      </c>
      <c r="U368" s="5" t="n">
        <v>0.2</v>
      </c>
      <c r="V368" s="5" t="n">
        <v>90</v>
      </c>
      <c r="W368" s="5" t="n">
        <v>0.1</v>
      </c>
      <c r="X368" s="5" t="n">
        <v>8</v>
      </c>
      <c r="Y368" s="5" t="n">
        <v>0.4</v>
      </c>
      <c r="Z368" s="5" t="n">
        <v>80</v>
      </c>
      <c r="AA368" s="7" t="n">
        <v>0.7</v>
      </c>
    </row>
    <row r="369" customFormat="false" ht="15" hidden="false" customHeight="true" outlineLevel="0" collapsed="false">
      <c r="A369" s="4" t="s">
        <v>421</v>
      </c>
      <c r="B369" s="4" t="s">
        <v>404</v>
      </c>
      <c r="C369" s="5" t="n">
        <v>3</v>
      </c>
      <c r="D369" s="5"/>
      <c r="E369" s="4" t="s">
        <v>29</v>
      </c>
      <c r="F369" s="6" t="s">
        <v>404</v>
      </c>
      <c r="G369" s="5" t="n">
        <v>98</v>
      </c>
      <c r="H369" s="5" t="n">
        <v>4.3</v>
      </c>
      <c r="I369" s="5" t="n">
        <v>11</v>
      </c>
      <c r="J369" s="5" t="n">
        <v>3.4</v>
      </c>
      <c r="K369" s="5" t="n">
        <v>40</v>
      </c>
      <c r="L369" s="5" t="n">
        <v>0</v>
      </c>
      <c r="M369" s="5" t="n">
        <v>0.1</v>
      </c>
      <c r="N369" s="5" t="n">
        <v>0.1</v>
      </c>
      <c r="O369" s="5" t="n">
        <v>1</v>
      </c>
      <c r="P369" s="5" t="n">
        <v>0.02</v>
      </c>
      <c r="Q369" s="5" t="n">
        <v>0.16</v>
      </c>
      <c r="R369" s="5" t="n">
        <v>0.1</v>
      </c>
      <c r="S369" s="5" t="n">
        <v>0.05</v>
      </c>
      <c r="T369" s="5" t="n">
        <v>12</v>
      </c>
      <c r="U369" s="5" t="n">
        <v>0.4</v>
      </c>
      <c r="V369" s="5" t="n">
        <v>83</v>
      </c>
      <c r="W369" s="5" t="n">
        <v>0.1</v>
      </c>
      <c r="X369" s="5" t="n">
        <v>8</v>
      </c>
      <c r="Y369" s="5" t="n">
        <v>0.4</v>
      </c>
      <c r="Z369" s="5" t="n">
        <v>86</v>
      </c>
      <c r="AA369" s="7" t="n">
        <v>0.1</v>
      </c>
    </row>
    <row r="370" customFormat="false" ht="15" hidden="false" customHeight="true" outlineLevel="0" collapsed="false">
      <c r="A370" s="4" t="s">
        <v>422</v>
      </c>
      <c r="B370" s="4" t="s">
        <v>404</v>
      </c>
      <c r="C370" s="5" t="n">
        <v>5.5</v>
      </c>
      <c r="D370" s="5"/>
      <c r="E370" s="4" t="s">
        <v>29</v>
      </c>
      <c r="F370" s="6" t="s">
        <v>404</v>
      </c>
      <c r="G370" s="5" t="n">
        <v>300</v>
      </c>
      <c r="H370" s="5" t="n">
        <v>24</v>
      </c>
      <c r="I370" s="5" t="n">
        <v>20</v>
      </c>
      <c r="J370" s="5" t="n">
        <v>0.5</v>
      </c>
      <c r="K370" s="5" t="n">
        <v>200</v>
      </c>
      <c r="L370" s="5" t="n">
        <v>0</v>
      </c>
      <c r="M370" s="5" t="n">
        <v>0.5</v>
      </c>
      <c r="N370" s="5" t="n">
        <v>0.4</v>
      </c>
      <c r="O370" s="5" t="n">
        <v>2</v>
      </c>
      <c r="P370" s="5" t="n">
        <v>0.03</v>
      </c>
      <c r="Q370" s="5" t="n">
        <v>0.3</v>
      </c>
      <c r="R370" s="5" t="n">
        <v>0.2</v>
      </c>
      <c r="S370" s="5" t="n">
        <v>0.08</v>
      </c>
      <c r="T370" s="5" t="n">
        <v>15</v>
      </c>
      <c r="U370" s="5" t="n">
        <v>1.2</v>
      </c>
      <c r="V370" s="5" t="n">
        <v>550</v>
      </c>
      <c r="W370" s="5" t="n">
        <v>0.4</v>
      </c>
      <c r="X370" s="5" t="n">
        <v>25</v>
      </c>
      <c r="Y370" s="5" t="n">
        <v>3</v>
      </c>
      <c r="Z370" s="5" t="n">
        <v>120</v>
      </c>
      <c r="AA370" s="7" t="n">
        <v>0</v>
      </c>
    </row>
    <row r="371" customFormat="false" ht="15" hidden="false" customHeight="true" outlineLevel="0" collapsed="false">
      <c r="A371" s="4" t="s">
        <v>423</v>
      </c>
      <c r="B371" s="4" t="s">
        <v>404</v>
      </c>
      <c r="C371" s="5" t="n">
        <v>6.2</v>
      </c>
      <c r="D371" s="5"/>
      <c r="E371" s="4" t="s">
        <v>29</v>
      </c>
      <c r="F371" s="6" t="s">
        <v>404</v>
      </c>
      <c r="G371" s="5" t="n">
        <v>380</v>
      </c>
      <c r="H371" s="5" t="n">
        <v>31</v>
      </c>
      <c r="I371" s="5" t="n">
        <v>26</v>
      </c>
      <c r="J371" s="5" t="n">
        <v>0.5</v>
      </c>
      <c r="K371" s="5" t="n">
        <v>220</v>
      </c>
      <c r="L371" s="5" t="n">
        <v>0</v>
      </c>
      <c r="M371" s="5" t="n">
        <v>0.6</v>
      </c>
      <c r="N371" s="5" t="n">
        <v>0.5</v>
      </c>
      <c r="O371" s="5" t="n">
        <v>2</v>
      </c>
      <c r="P371" s="5" t="n">
        <v>0.03</v>
      </c>
      <c r="Q371" s="5" t="n">
        <v>0.35</v>
      </c>
      <c r="R371" s="5" t="n">
        <v>0.1</v>
      </c>
      <c r="S371" s="5" t="n">
        <v>0.08</v>
      </c>
      <c r="T371" s="5" t="n">
        <v>18</v>
      </c>
      <c r="U371" s="5" t="n">
        <v>1.6</v>
      </c>
      <c r="V371" s="5" t="n">
        <v>850</v>
      </c>
      <c r="W371" s="5" t="n">
        <v>0.3</v>
      </c>
      <c r="X371" s="5" t="n">
        <v>30</v>
      </c>
      <c r="Y371" s="5" t="n">
        <v>3.5</v>
      </c>
      <c r="Z371" s="5" t="n">
        <v>110</v>
      </c>
      <c r="AA371" s="7" t="n">
        <v>0</v>
      </c>
    </row>
    <row r="372" customFormat="false" ht="26.25" hidden="false" customHeight="true" outlineLevel="0" collapsed="false">
      <c r="A372" s="4" t="s">
        <v>424</v>
      </c>
      <c r="B372" s="4" t="s">
        <v>425</v>
      </c>
      <c r="C372" s="5" t="n">
        <v>1.8</v>
      </c>
      <c r="D372" s="5"/>
      <c r="E372" s="4" t="s">
        <v>29</v>
      </c>
      <c r="F372" s="6" t="s">
        <v>425</v>
      </c>
      <c r="G372" s="5" t="n">
        <v>368</v>
      </c>
      <c r="H372" s="5" t="n">
        <v>6.1</v>
      </c>
      <c r="I372" s="5" t="n">
        <v>14</v>
      </c>
      <c r="J372" s="5" t="n">
        <v>64</v>
      </c>
      <c r="K372" s="5" t="n">
        <v>1</v>
      </c>
      <c r="L372" s="5" t="n">
        <v>0</v>
      </c>
      <c r="M372" s="5" t="n">
        <v>0</v>
      </c>
      <c r="N372" s="5" t="n">
        <v>2.4</v>
      </c>
      <c r="O372" s="5" t="n">
        <v>0</v>
      </c>
      <c r="P372" s="5" t="n">
        <v>0.36</v>
      </c>
      <c r="Q372" s="5" t="n">
        <v>0.32</v>
      </c>
      <c r="R372" s="5" t="n">
        <v>1.5</v>
      </c>
      <c r="S372" s="5" t="n">
        <v>0.49</v>
      </c>
      <c r="T372" s="5" t="n">
        <v>184</v>
      </c>
      <c r="U372" s="5" t="n">
        <v>0</v>
      </c>
      <c r="V372" s="5" t="n">
        <v>47</v>
      </c>
      <c r="W372" s="5" t="n">
        <v>4.6</v>
      </c>
      <c r="X372" s="5" t="n">
        <v>197</v>
      </c>
      <c r="Y372" s="5" t="n">
        <v>3.1</v>
      </c>
      <c r="Z372" s="5" t="n">
        <v>563</v>
      </c>
      <c r="AA372" s="7" t="n">
        <v>1.9</v>
      </c>
    </row>
    <row r="373" customFormat="false" ht="26.25" hidden="false" customHeight="true" outlineLevel="0" collapsed="false">
      <c r="A373" s="4" t="s">
        <v>426</v>
      </c>
      <c r="B373" s="4" t="s">
        <v>425</v>
      </c>
      <c r="C373" s="5" t="n">
        <v>0.8</v>
      </c>
      <c r="D373" s="5"/>
      <c r="E373" s="4" t="s">
        <v>29</v>
      </c>
      <c r="F373" s="6" t="s">
        <v>425</v>
      </c>
      <c r="G373" s="5" t="n">
        <v>378</v>
      </c>
      <c r="H373" s="5" t="n">
        <v>4.2</v>
      </c>
      <c r="I373" s="5" t="n">
        <v>11</v>
      </c>
      <c r="J373" s="5" t="n">
        <v>73</v>
      </c>
      <c r="K373" s="5" t="n">
        <v>0</v>
      </c>
      <c r="L373" s="5" t="n">
        <v>0</v>
      </c>
      <c r="M373" s="5" t="n">
        <v>0</v>
      </c>
      <c r="N373" s="5" t="n">
        <v>0.1</v>
      </c>
      <c r="O373" s="5" t="n">
        <v>0.9</v>
      </c>
      <c r="P373" s="5" t="n">
        <v>0.42</v>
      </c>
      <c r="Q373" s="5" t="n">
        <v>0.29</v>
      </c>
      <c r="R373" s="5" t="n">
        <v>4.7</v>
      </c>
      <c r="S373" s="5" t="n">
        <v>0.38</v>
      </c>
      <c r="T373" s="5" t="n">
        <v>85</v>
      </c>
      <c r="U373" s="5" t="n">
        <v>0</v>
      </c>
      <c r="V373" s="5" t="n">
        <v>8</v>
      </c>
      <c r="W373" s="5" t="n">
        <v>3</v>
      </c>
      <c r="X373" s="5" t="n">
        <v>114</v>
      </c>
      <c r="Y373" s="5" t="n">
        <v>1.7</v>
      </c>
      <c r="Z373" s="5" t="n">
        <v>195</v>
      </c>
      <c r="AA373" s="7" t="n">
        <v>1.5</v>
      </c>
    </row>
    <row r="374" customFormat="false" ht="26.25" hidden="false" customHeight="true" outlineLevel="0" collapsed="false">
      <c r="A374" s="4" t="s">
        <v>427</v>
      </c>
      <c r="B374" s="4" t="s">
        <v>425</v>
      </c>
      <c r="C374" s="5" t="n">
        <v>0.9</v>
      </c>
      <c r="D374" s="5"/>
      <c r="E374" s="4" t="s">
        <v>29</v>
      </c>
      <c r="F374" s="6" t="s">
        <v>425</v>
      </c>
      <c r="G374" s="5" t="n">
        <v>343</v>
      </c>
      <c r="H374" s="5" t="n">
        <v>3.4</v>
      </c>
      <c r="I374" s="5" t="n">
        <v>13</v>
      </c>
      <c r="J374" s="5" t="n">
        <v>72</v>
      </c>
      <c r="K374" s="5" t="n">
        <v>0</v>
      </c>
      <c r="L374" s="5" t="n">
        <v>0</v>
      </c>
      <c r="M374" s="5" t="n">
        <v>0</v>
      </c>
      <c r="N374" s="5" t="n">
        <v>1</v>
      </c>
      <c r="O374" s="5" t="n">
        <v>0</v>
      </c>
      <c r="P374" s="5" t="n">
        <v>0.1</v>
      </c>
      <c r="Q374" s="5" t="n">
        <v>0.42</v>
      </c>
      <c r="R374" s="5" t="n">
        <v>7</v>
      </c>
      <c r="S374" s="5" t="n">
        <v>0.21</v>
      </c>
      <c r="T374" s="5" t="n">
        <v>30</v>
      </c>
      <c r="U374" s="5" t="n">
        <v>0</v>
      </c>
      <c r="V374" s="5" t="n">
        <v>18</v>
      </c>
      <c r="W374" s="5" t="n">
        <v>2.2</v>
      </c>
      <c r="X374" s="5" t="n">
        <v>231</v>
      </c>
      <c r="Y374" s="5" t="n">
        <v>2.4</v>
      </c>
      <c r="Z374" s="5" t="n">
        <v>460</v>
      </c>
      <c r="AA374" s="7" t="n">
        <v>1.4</v>
      </c>
    </row>
    <row r="375" customFormat="false" ht="26.25" hidden="false" customHeight="true" outlineLevel="0" collapsed="false">
      <c r="A375" s="4" t="s">
        <v>428</v>
      </c>
      <c r="B375" s="4" t="s">
        <v>425</v>
      </c>
      <c r="C375" s="5" t="n">
        <v>1.2</v>
      </c>
      <c r="D375" s="5"/>
      <c r="E375" s="4" t="s">
        <v>29</v>
      </c>
      <c r="F375" s="6" t="s">
        <v>425</v>
      </c>
      <c r="G375" s="5" t="n">
        <v>371</v>
      </c>
      <c r="H375" s="5" t="n">
        <v>7</v>
      </c>
      <c r="I375" s="5" t="n">
        <v>14</v>
      </c>
      <c r="J375" s="5" t="n">
        <v>65</v>
      </c>
      <c r="K375" s="5" t="n">
        <v>0</v>
      </c>
      <c r="L375" s="5" t="n">
        <v>4.2</v>
      </c>
      <c r="M375" s="5" t="n">
        <v>0</v>
      </c>
      <c r="N375" s="5" t="n">
        <v>0</v>
      </c>
      <c r="O375" s="5" t="n">
        <v>0</v>
      </c>
      <c r="P375" s="5" t="n">
        <v>0.12</v>
      </c>
      <c r="Q375" s="5" t="n">
        <v>0.2</v>
      </c>
      <c r="R375" s="5" t="n">
        <v>0.9</v>
      </c>
      <c r="S375" s="5" t="n">
        <v>0.59</v>
      </c>
      <c r="T375" s="5" t="n">
        <v>82</v>
      </c>
      <c r="U375" s="5" t="n">
        <v>0</v>
      </c>
      <c r="V375" s="5" t="n">
        <v>159</v>
      </c>
      <c r="W375" s="5" t="n">
        <v>7.6</v>
      </c>
      <c r="X375" s="5" t="n">
        <v>248</v>
      </c>
      <c r="Y375" s="5" t="n">
        <v>2.9</v>
      </c>
      <c r="Z375" s="5" t="n">
        <v>508</v>
      </c>
      <c r="AA375" s="7" t="n">
        <v>1.9</v>
      </c>
    </row>
    <row r="376" customFormat="false" ht="26.25" hidden="false" customHeight="true" outlineLevel="0" collapsed="false">
      <c r="A376" s="4" t="s">
        <v>429</v>
      </c>
      <c r="B376" s="4" t="s">
        <v>425</v>
      </c>
      <c r="C376" s="5" t="n">
        <v>1.6</v>
      </c>
      <c r="D376" s="5"/>
      <c r="E376" s="4" t="s">
        <v>29</v>
      </c>
      <c r="F376" s="6" t="s">
        <v>425</v>
      </c>
      <c r="G376" s="5" t="n">
        <v>376</v>
      </c>
      <c r="H376" s="5" t="n">
        <v>0.6</v>
      </c>
      <c r="I376" s="5" t="n">
        <v>13</v>
      </c>
      <c r="J376" s="5" t="n">
        <v>77</v>
      </c>
      <c r="K376" s="5" t="n">
        <v>0</v>
      </c>
      <c r="L376" s="5" t="n">
        <v>0</v>
      </c>
      <c r="M376" s="5" t="n">
        <v>0</v>
      </c>
      <c r="N376" s="5" t="n">
        <v>0.1</v>
      </c>
      <c r="O376" s="5" t="n">
        <v>0</v>
      </c>
      <c r="P376" s="5" t="n">
        <v>0.1</v>
      </c>
      <c r="Q376" s="5" t="n">
        <v>0.05</v>
      </c>
      <c r="R376" s="5" t="n">
        <v>3.5</v>
      </c>
      <c r="S376" s="5" t="n">
        <v>0.1</v>
      </c>
      <c r="T376" s="5" t="n">
        <v>25</v>
      </c>
      <c r="U376" s="5" t="n">
        <v>0</v>
      </c>
      <c r="V376" s="5" t="n">
        <v>24</v>
      </c>
      <c r="W376" s="5" t="n">
        <v>1.1</v>
      </c>
      <c r="X376" s="5" t="n">
        <v>44</v>
      </c>
      <c r="Y376" s="5" t="n">
        <v>0.8</v>
      </c>
      <c r="Z376" s="5" t="n">
        <v>166</v>
      </c>
      <c r="AA376" s="7" t="n">
        <v>1.5</v>
      </c>
    </row>
    <row r="377" customFormat="false" ht="26.25" hidden="false" customHeight="true" outlineLevel="0" collapsed="false">
      <c r="A377" s="4" t="s">
        <v>430</v>
      </c>
      <c r="B377" s="4" t="s">
        <v>425</v>
      </c>
      <c r="C377" s="5" t="n">
        <v>1.5</v>
      </c>
      <c r="D377" s="5"/>
      <c r="E377" s="4" t="s">
        <v>29</v>
      </c>
      <c r="F377" s="6" t="s">
        <v>425</v>
      </c>
      <c r="G377" s="5" t="n">
        <v>360</v>
      </c>
      <c r="H377" s="5" t="n">
        <v>1.1</v>
      </c>
      <c r="I377" s="5" t="n">
        <v>13</v>
      </c>
      <c r="J377" s="5" t="n">
        <v>73</v>
      </c>
      <c r="K377" s="5" t="n">
        <v>0</v>
      </c>
      <c r="L377" s="5" t="n">
        <v>0</v>
      </c>
      <c r="M377" s="5" t="n">
        <v>0</v>
      </c>
      <c r="N377" s="5" t="n">
        <v>0.1</v>
      </c>
      <c r="O377" s="5" t="n">
        <v>0</v>
      </c>
      <c r="P377" s="5" t="n">
        <v>0.16</v>
      </c>
      <c r="Q377" s="5" t="n">
        <v>0.08</v>
      </c>
      <c r="R377" s="5" t="n">
        <v>3</v>
      </c>
      <c r="S377" s="5" t="n">
        <v>0.1</v>
      </c>
      <c r="T377" s="5" t="n">
        <v>25</v>
      </c>
      <c r="U377" s="5" t="n">
        <v>0</v>
      </c>
      <c r="V377" s="5" t="n">
        <v>20</v>
      </c>
      <c r="W377" s="5" t="n">
        <v>1.2</v>
      </c>
      <c r="X377" s="5" t="n">
        <v>47</v>
      </c>
      <c r="Y377" s="5" t="n">
        <v>0.8</v>
      </c>
      <c r="Z377" s="5" t="n">
        <v>180</v>
      </c>
      <c r="AA377" s="7" t="n">
        <v>1.5</v>
      </c>
    </row>
    <row r="378" customFormat="false" ht="26.25" hidden="false" customHeight="true" outlineLevel="0" collapsed="false">
      <c r="A378" s="4" t="s">
        <v>431</v>
      </c>
      <c r="B378" s="4" t="s">
        <v>425</v>
      </c>
      <c r="C378" s="5" t="n">
        <v>1.4</v>
      </c>
      <c r="D378" s="5"/>
      <c r="E378" s="4" t="s">
        <v>29</v>
      </c>
      <c r="F378" s="6" t="s">
        <v>425</v>
      </c>
      <c r="G378" s="5" t="n">
        <v>362</v>
      </c>
      <c r="H378" s="5" t="n">
        <v>1.5</v>
      </c>
      <c r="I378" s="5" t="n">
        <v>8.5</v>
      </c>
      <c r="J378" s="5" t="n">
        <v>77</v>
      </c>
      <c r="K378" s="5" t="n">
        <v>20</v>
      </c>
      <c r="L378" s="5" t="n">
        <v>0</v>
      </c>
      <c r="M378" s="5" t="n">
        <v>0</v>
      </c>
      <c r="N378" s="5" t="n">
        <v>0.4</v>
      </c>
      <c r="O378" s="5" t="n">
        <v>0</v>
      </c>
      <c r="P378" s="5" t="n">
        <v>0.15</v>
      </c>
      <c r="Q378" s="5" t="n">
        <v>0.08</v>
      </c>
      <c r="R378" s="5" t="n">
        <v>1.6</v>
      </c>
      <c r="S378" s="5" t="n">
        <v>0.15</v>
      </c>
      <c r="T378" s="5" t="n">
        <v>15</v>
      </c>
      <c r="U378" s="5" t="n">
        <v>0</v>
      </c>
      <c r="V378" s="5" t="n">
        <v>5</v>
      </c>
      <c r="W378" s="5" t="n">
        <v>1</v>
      </c>
      <c r="X378" s="5" t="n">
        <v>25</v>
      </c>
      <c r="Y378" s="5" t="n">
        <v>0.5</v>
      </c>
      <c r="Z378" s="5" t="n">
        <v>120</v>
      </c>
      <c r="AA378" s="7" t="n">
        <v>1.5</v>
      </c>
    </row>
    <row r="379" customFormat="false" ht="26.25" hidden="false" customHeight="true" outlineLevel="0" collapsed="false">
      <c r="A379" s="4" t="s">
        <v>432</v>
      </c>
      <c r="B379" s="4" t="s">
        <v>425</v>
      </c>
      <c r="C379" s="5" t="n">
        <v>3</v>
      </c>
      <c r="D379" s="5"/>
      <c r="E379" s="4" t="s">
        <v>29</v>
      </c>
      <c r="F379" s="6" t="s">
        <v>425</v>
      </c>
      <c r="G379" s="5" t="n">
        <v>356</v>
      </c>
      <c r="H379" s="5" t="n">
        <v>0.9</v>
      </c>
      <c r="I379" s="5" t="n">
        <v>7.9</v>
      </c>
      <c r="J379" s="5" t="n">
        <v>78</v>
      </c>
      <c r="K379" s="5" t="n">
        <v>0</v>
      </c>
      <c r="L379" s="5" t="n">
        <v>0</v>
      </c>
      <c r="M379" s="5" t="n">
        <v>0</v>
      </c>
      <c r="N379" s="5" t="n">
        <v>0.1</v>
      </c>
      <c r="O379" s="5" t="n">
        <v>0</v>
      </c>
      <c r="P379" s="5" t="n">
        <v>0.09</v>
      </c>
      <c r="Q379" s="5" t="n">
        <v>0.06</v>
      </c>
      <c r="R379" s="5" t="n">
        <v>2.7</v>
      </c>
      <c r="S379" s="5" t="n">
        <v>0.28</v>
      </c>
      <c r="T379" s="5" t="n">
        <v>9</v>
      </c>
      <c r="U379" s="5" t="n">
        <v>0</v>
      </c>
      <c r="V379" s="5" t="n">
        <v>9</v>
      </c>
      <c r="W379" s="5" t="n">
        <v>0.6</v>
      </c>
      <c r="X379" s="5" t="n">
        <v>25</v>
      </c>
      <c r="Y379" s="5" t="n">
        <v>0.9</v>
      </c>
      <c r="Z379" s="5" t="n">
        <v>86</v>
      </c>
      <c r="AA379" s="7" t="n">
        <v>0.8</v>
      </c>
    </row>
    <row r="380" customFormat="false" ht="26.25" hidden="false" customHeight="true" outlineLevel="0" collapsed="false">
      <c r="A380" s="4" t="s">
        <v>433</v>
      </c>
      <c r="B380" s="4" t="s">
        <v>425</v>
      </c>
      <c r="C380" s="5" t="n">
        <v>3</v>
      </c>
      <c r="D380" s="5"/>
      <c r="E380" s="4" t="s">
        <v>29</v>
      </c>
      <c r="F380" s="6" t="s">
        <v>425</v>
      </c>
      <c r="G380" s="5" t="n">
        <v>356</v>
      </c>
      <c r="H380" s="5" t="n">
        <v>0.6</v>
      </c>
      <c r="I380" s="5" t="n">
        <v>7.1</v>
      </c>
      <c r="J380" s="5" t="n">
        <v>80</v>
      </c>
      <c r="K380" s="5" t="n">
        <v>0</v>
      </c>
      <c r="L380" s="5" t="n">
        <v>0</v>
      </c>
      <c r="M380" s="5" t="n">
        <v>0</v>
      </c>
      <c r="N380" s="5" t="n">
        <v>0.1</v>
      </c>
      <c r="O380" s="5" t="n">
        <v>0</v>
      </c>
      <c r="P380" s="5" t="n">
        <v>0.06</v>
      </c>
      <c r="Q380" s="5" t="n">
        <v>0.04</v>
      </c>
      <c r="R380" s="5" t="n">
        <v>1.6</v>
      </c>
      <c r="S380" s="5" t="n">
        <v>0.15</v>
      </c>
      <c r="T380" s="5" t="n">
        <v>8</v>
      </c>
      <c r="U380" s="5" t="n">
        <v>0</v>
      </c>
      <c r="V380" s="5" t="n">
        <v>8</v>
      </c>
      <c r="W380" s="5" t="n">
        <v>0.4</v>
      </c>
      <c r="X380" s="5" t="n">
        <v>20</v>
      </c>
      <c r="Y380" s="5" t="n">
        <v>0.7</v>
      </c>
      <c r="Z380" s="5" t="n">
        <v>60</v>
      </c>
      <c r="AA380" s="7" t="n">
        <v>0.8</v>
      </c>
    </row>
    <row r="381" customFormat="false" ht="26.25" hidden="false" customHeight="true" outlineLevel="0" collapsed="false">
      <c r="A381" s="4" t="s">
        <v>434</v>
      </c>
      <c r="B381" s="4" t="s">
        <v>425</v>
      </c>
      <c r="C381" s="5" t="n">
        <v>3</v>
      </c>
      <c r="D381" s="5"/>
      <c r="E381" s="4" t="s">
        <v>29</v>
      </c>
      <c r="F381" s="6" t="s">
        <v>425</v>
      </c>
      <c r="G381" s="5" t="n">
        <v>349</v>
      </c>
      <c r="H381" s="5" t="n">
        <v>0.6</v>
      </c>
      <c r="I381" s="5" t="n">
        <v>6.5</v>
      </c>
      <c r="J381" s="5" t="n">
        <v>77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0.07</v>
      </c>
      <c r="Q381" s="5" t="n">
        <v>0.05</v>
      </c>
      <c r="R381" s="5" t="n">
        <v>1.7</v>
      </c>
      <c r="S381" s="5" t="n">
        <v>0.16</v>
      </c>
      <c r="T381" s="5" t="n">
        <v>8</v>
      </c>
      <c r="U381" s="5" t="n">
        <v>0</v>
      </c>
      <c r="V381" s="5" t="n">
        <v>9</v>
      </c>
      <c r="W381" s="5" t="n">
        <v>0.6</v>
      </c>
      <c r="X381" s="5" t="n">
        <v>25</v>
      </c>
      <c r="Y381" s="5" t="n">
        <v>1</v>
      </c>
      <c r="Z381" s="5" t="n">
        <v>90</v>
      </c>
      <c r="AA381" s="7" t="n">
        <v>0.8</v>
      </c>
    </row>
    <row r="382" customFormat="false" ht="26.25" hidden="false" customHeight="true" outlineLevel="0" collapsed="false">
      <c r="A382" s="4" t="s">
        <v>435</v>
      </c>
      <c r="B382" s="4" t="s">
        <v>425</v>
      </c>
      <c r="C382" s="5" t="n">
        <v>2.8</v>
      </c>
      <c r="D382" s="5"/>
      <c r="E382" s="4" t="s">
        <v>29</v>
      </c>
      <c r="F382" s="6" t="s">
        <v>425</v>
      </c>
      <c r="G382" s="5" t="n">
        <v>357</v>
      </c>
      <c r="H382" s="5" t="n">
        <v>1.1</v>
      </c>
      <c r="I382" s="5" t="n">
        <v>15</v>
      </c>
      <c r="J382" s="5" t="n">
        <v>75</v>
      </c>
      <c r="K382" s="5" t="n">
        <v>0</v>
      </c>
      <c r="L382" s="5" t="n">
        <v>0</v>
      </c>
      <c r="M382" s="5" t="n">
        <v>0</v>
      </c>
      <c r="N382" s="5" t="n">
        <v>1.4</v>
      </c>
      <c r="O382" s="5" t="n">
        <v>0</v>
      </c>
      <c r="P382" s="5" t="n">
        <v>0.12</v>
      </c>
      <c r="Q382" s="5" t="n">
        <v>0.26</v>
      </c>
      <c r="R382" s="5" t="n">
        <v>6.7</v>
      </c>
      <c r="S382" s="5" t="n">
        <v>0.21</v>
      </c>
      <c r="T382" s="5" t="n">
        <v>95</v>
      </c>
      <c r="U382" s="5" t="n">
        <v>0</v>
      </c>
      <c r="V382" s="5" t="n">
        <v>10</v>
      </c>
      <c r="W382" s="5" t="n">
        <v>2</v>
      </c>
      <c r="X382" s="5" t="n">
        <v>177</v>
      </c>
      <c r="Y382" s="5" t="n">
        <v>4.5</v>
      </c>
      <c r="Z382" s="5" t="n">
        <v>427</v>
      </c>
      <c r="AA382" s="7" t="n">
        <v>0.8</v>
      </c>
    </row>
    <row r="383" customFormat="false" ht="26.25" hidden="false" customHeight="true" outlineLevel="0" collapsed="false">
      <c r="A383" s="4" t="s">
        <v>436</v>
      </c>
      <c r="B383" s="4" t="s">
        <v>425</v>
      </c>
      <c r="C383" s="5" t="n">
        <v>1</v>
      </c>
      <c r="D383" s="5"/>
      <c r="E383" s="4" t="s">
        <v>29</v>
      </c>
      <c r="F383" s="6" t="s">
        <v>425</v>
      </c>
      <c r="G383" s="5" t="n">
        <v>352</v>
      </c>
      <c r="H383" s="5" t="n">
        <v>2.3</v>
      </c>
      <c r="I383" s="5" t="n">
        <v>10</v>
      </c>
      <c r="J383" s="5" t="n">
        <v>77</v>
      </c>
      <c r="K383" s="5" t="n">
        <v>0</v>
      </c>
      <c r="L383" s="5" t="n">
        <v>0</v>
      </c>
      <c r="M383" s="5" t="n">
        <v>0</v>
      </c>
      <c r="N383" s="5" t="n">
        <v>0.1</v>
      </c>
      <c r="O383" s="5" t="n">
        <v>0</v>
      </c>
      <c r="P383" s="5" t="n">
        <v>0.19</v>
      </c>
      <c r="Q383" s="5" t="n">
        <v>0.11</v>
      </c>
      <c r="R383" s="5" t="n">
        <v>4.6</v>
      </c>
      <c r="S383" s="5" t="n">
        <v>0.26</v>
      </c>
      <c r="T383" s="5" t="n">
        <v>23</v>
      </c>
      <c r="U383" s="5" t="n">
        <v>0</v>
      </c>
      <c r="V383" s="5" t="n">
        <v>29</v>
      </c>
      <c r="W383" s="5" t="n">
        <v>2.5</v>
      </c>
      <c r="X383" s="5" t="n">
        <v>79</v>
      </c>
      <c r="Y383" s="5" t="n">
        <v>2.1</v>
      </c>
      <c r="Z383" s="5" t="n">
        <v>280</v>
      </c>
      <c r="AA383" s="7" t="n">
        <v>1.5</v>
      </c>
    </row>
    <row r="384" customFormat="false" ht="26.25" hidden="false" customHeight="true" outlineLevel="0" collapsed="false">
      <c r="A384" s="4" t="s">
        <v>437</v>
      </c>
      <c r="B384" s="4" t="s">
        <v>425</v>
      </c>
      <c r="C384" s="5" t="n">
        <v>0.7</v>
      </c>
      <c r="D384" s="5"/>
      <c r="E384" s="4" t="s">
        <v>29</v>
      </c>
      <c r="F384" s="6" t="s">
        <v>425</v>
      </c>
      <c r="G384" s="5" t="n">
        <v>246</v>
      </c>
      <c r="H384" s="5" t="n">
        <v>7</v>
      </c>
      <c r="I384" s="5" t="n">
        <v>17</v>
      </c>
      <c r="J384" s="5" t="n">
        <v>66</v>
      </c>
      <c r="K384" s="5" t="n">
        <v>0</v>
      </c>
      <c r="L384" s="5" t="n">
        <v>0</v>
      </c>
      <c r="M384" s="5" t="n">
        <v>0</v>
      </c>
      <c r="N384" s="5" t="n">
        <v>0.7</v>
      </c>
      <c r="O384" s="5" t="n">
        <v>0</v>
      </c>
      <c r="P384" s="5" t="n">
        <v>1.16</v>
      </c>
      <c r="Q384" s="5" t="n">
        <v>0.3</v>
      </c>
      <c r="R384" s="5" t="n">
        <v>0.9</v>
      </c>
      <c r="S384" s="5" t="n">
        <v>0.75</v>
      </c>
      <c r="T384" s="5" t="n">
        <v>52</v>
      </c>
      <c r="U384" s="5" t="n">
        <v>0</v>
      </c>
      <c r="V384" s="5" t="n">
        <v>58</v>
      </c>
      <c r="W384" s="5" t="n">
        <v>5.4</v>
      </c>
      <c r="X384" s="5" t="n">
        <v>235</v>
      </c>
      <c r="Y384" s="5" t="n">
        <v>3.6</v>
      </c>
      <c r="Z384" s="5" t="n">
        <v>566</v>
      </c>
      <c r="AA384" s="7" t="n">
        <v>1.3</v>
      </c>
    </row>
    <row r="385" customFormat="false" ht="26.25" hidden="false" customHeight="true" outlineLevel="0" collapsed="false">
      <c r="A385" s="4" t="s">
        <v>438</v>
      </c>
      <c r="B385" s="4" t="s">
        <v>425</v>
      </c>
      <c r="C385" s="5" t="n">
        <v>1.7</v>
      </c>
      <c r="D385" s="5"/>
      <c r="E385" s="4" t="s">
        <v>29</v>
      </c>
      <c r="F385" s="6" t="s">
        <v>425</v>
      </c>
      <c r="G385" s="5" t="n">
        <v>216</v>
      </c>
      <c r="H385" s="5" t="n">
        <v>4.3</v>
      </c>
      <c r="I385" s="5" t="n">
        <v>16</v>
      </c>
      <c r="J385" s="5" t="n">
        <v>64</v>
      </c>
      <c r="K385" s="5" t="n">
        <v>0</v>
      </c>
      <c r="L385" s="5" t="n">
        <v>0</v>
      </c>
      <c r="M385" s="5" t="n">
        <v>0</v>
      </c>
      <c r="N385" s="5" t="n">
        <v>1.5</v>
      </c>
      <c r="O385" s="5" t="n">
        <v>0</v>
      </c>
      <c r="P385" s="5" t="n">
        <v>0.52</v>
      </c>
      <c r="Q385" s="5" t="n">
        <v>0.58</v>
      </c>
      <c r="R385" s="5" t="n">
        <v>13.6</v>
      </c>
      <c r="S385" s="5" t="n">
        <v>1.3</v>
      </c>
      <c r="T385" s="5" t="n">
        <v>79</v>
      </c>
      <c r="U385" s="5" t="n">
        <v>0</v>
      </c>
      <c r="V385" s="5" t="n">
        <v>73</v>
      </c>
      <c r="W385" s="5" t="n">
        <v>10.6</v>
      </c>
      <c r="X385" s="5" t="n">
        <v>611</v>
      </c>
      <c r="Y385" s="5" t="n">
        <v>7.3</v>
      </c>
      <c r="Z385" s="5" t="n">
        <v>1182</v>
      </c>
      <c r="AA385" s="7" t="n">
        <v>1.9</v>
      </c>
    </row>
    <row r="386" customFormat="false" ht="26.25" hidden="false" customHeight="true" outlineLevel="0" collapsed="false">
      <c r="A386" s="4" t="s">
        <v>439</v>
      </c>
      <c r="B386" s="4" t="s">
        <v>425</v>
      </c>
      <c r="C386" s="5" t="n">
        <v>1.7</v>
      </c>
      <c r="D386" s="5"/>
      <c r="E386" s="4" t="s">
        <v>29</v>
      </c>
      <c r="F386" s="6" t="s">
        <v>425</v>
      </c>
      <c r="G386" s="5" t="n">
        <v>387</v>
      </c>
      <c r="H386" s="5" t="n">
        <v>4.5</v>
      </c>
      <c r="I386" s="5" t="n">
        <v>13</v>
      </c>
      <c r="J386" s="5" t="n">
        <v>78</v>
      </c>
      <c r="K386" s="5" t="n">
        <v>20</v>
      </c>
      <c r="L386" s="5" t="n">
        <v>0</v>
      </c>
      <c r="M386" s="5" t="n">
        <v>0</v>
      </c>
      <c r="N386" s="5" t="n">
        <v>0.2</v>
      </c>
      <c r="O386" s="5" t="n">
        <v>0</v>
      </c>
      <c r="P386" s="5" t="n">
        <v>0.2</v>
      </c>
      <c r="Q386" s="5" t="n">
        <v>0.15</v>
      </c>
      <c r="R386" s="5" t="n">
        <v>2</v>
      </c>
      <c r="S386" s="5" t="n">
        <v>0.2</v>
      </c>
      <c r="T386" s="5" t="n">
        <v>20</v>
      </c>
      <c r="U386" s="5" t="n">
        <v>0</v>
      </c>
      <c r="V386" s="5" t="n">
        <v>7</v>
      </c>
      <c r="W386" s="5" t="n">
        <v>3</v>
      </c>
      <c r="X386" s="5" t="n">
        <v>144</v>
      </c>
      <c r="Y386" s="5" t="n">
        <v>2.7</v>
      </c>
      <c r="Z386" s="5" t="n">
        <v>329</v>
      </c>
      <c r="AA386" s="7" t="n">
        <v>1.6</v>
      </c>
    </row>
    <row r="387" customFormat="false" ht="26.25" hidden="false" customHeight="true" outlineLevel="0" collapsed="false">
      <c r="A387" s="4" t="s">
        <v>440</v>
      </c>
      <c r="B387" s="4" t="s">
        <v>425</v>
      </c>
      <c r="C387" s="5" t="n">
        <v>1.9</v>
      </c>
      <c r="D387" s="5"/>
      <c r="E387" s="4" t="s">
        <v>29</v>
      </c>
      <c r="F387" s="6" t="s">
        <v>425</v>
      </c>
      <c r="G387" s="5" t="n">
        <v>378</v>
      </c>
      <c r="H387" s="5" t="n">
        <v>0.9</v>
      </c>
      <c r="I387" s="5" t="n">
        <v>7.5</v>
      </c>
      <c r="J387" s="5" t="n">
        <v>84</v>
      </c>
      <c r="K387" s="5" t="n">
        <v>200</v>
      </c>
      <c r="L387" s="5" t="n">
        <v>15</v>
      </c>
      <c r="M387" s="5" t="n">
        <v>0</v>
      </c>
      <c r="N387" s="5" t="n">
        <v>1</v>
      </c>
      <c r="O387" s="5" t="n">
        <v>0</v>
      </c>
      <c r="P387" s="5" t="n">
        <v>0.8</v>
      </c>
      <c r="Q387" s="5" t="n">
        <v>0.9</v>
      </c>
      <c r="R387" s="5" t="n">
        <v>10</v>
      </c>
      <c r="S387" s="5" t="n">
        <v>1</v>
      </c>
      <c r="T387" s="5" t="n">
        <v>200</v>
      </c>
      <c r="U387" s="5" t="n">
        <v>2</v>
      </c>
      <c r="V387" s="5" t="n">
        <v>10</v>
      </c>
      <c r="W387" s="5" t="n">
        <v>10</v>
      </c>
      <c r="X387" s="5" t="n">
        <v>15</v>
      </c>
      <c r="Y387" s="5" t="n">
        <v>1</v>
      </c>
      <c r="Z387" s="5" t="n">
        <v>120</v>
      </c>
      <c r="AA387" s="7" t="n">
        <v>25.2</v>
      </c>
    </row>
    <row r="388" customFormat="false" ht="26.25" hidden="false" customHeight="true" outlineLevel="0" collapsed="false">
      <c r="A388" s="4" t="s">
        <v>441</v>
      </c>
      <c r="B388" s="4" t="s">
        <v>442</v>
      </c>
      <c r="C388" s="5" t="n">
        <v>1.4</v>
      </c>
      <c r="D388" s="5"/>
      <c r="E388" s="4" t="s">
        <v>29</v>
      </c>
      <c r="F388" s="6" t="s">
        <v>442</v>
      </c>
      <c r="G388" s="5" t="n">
        <v>333</v>
      </c>
      <c r="H388" s="5" t="n">
        <v>0.8</v>
      </c>
      <c r="I388" s="5" t="n">
        <v>24</v>
      </c>
      <c r="J388" s="5" t="n">
        <v>60</v>
      </c>
      <c r="K388" s="5" t="n">
        <v>0</v>
      </c>
      <c r="L388" s="5" t="n">
        <v>0</v>
      </c>
      <c r="M388" s="5" t="n">
        <v>0</v>
      </c>
      <c r="N388" s="5" t="n">
        <v>0</v>
      </c>
      <c r="O388" s="5" t="n">
        <v>0</v>
      </c>
      <c r="P388" s="5" t="n">
        <v>0.53</v>
      </c>
      <c r="Q388" s="5" t="n">
        <v>0.14</v>
      </c>
      <c r="R388" s="5" t="n">
        <v>2.1</v>
      </c>
      <c r="S388" s="5" t="n">
        <v>0.4</v>
      </c>
      <c r="T388" s="5" t="n">
        <v>394</v>
      </c>
      <c r="U388" s="5" t="n">
        <v>0</v>
      </c>
      <c r="V388" s="5" t="n">
        <v>143</v>
      </c>
      <c r="W388" s="5" t="n">
        <v>8.2</v>
      </c>
      <c r="X388" s="5" t="n">
        <v>140</v>
      </c>
      <c r="Y388" s="5" t="n">
        <v>2.8</v>
      </c>
      <c r="Z388" s="5" t="n">
        <v>1359</v>
      </c>
      <c r="AA388" s="7" t="n">
        <v>42</v>
      </c>
    </row>
    <row r="389" customFormat="false" ht="26.25" hidden="false" customHeight="true" outlineLevel="0" collapsed="false">
      <c r="A389" s="4" t="s">
        <v>443</v>
      </c>
      <c r="B389" s="4" t="s">
        <v>442</v>
      </c>
      <c r="C389" s="5" t="n">
        <v>1.4</v>
      </c>
      <c r="D389" s="5"/>
      <c r="E389" s="4" t="s">
        <v>29</v>
      </c>
      <c r="F389" s="6" t="s">
        <v>442</v>
      </c>
      <c r="G389" s="5" t="n">
        <v>341</v>
      </c>
      <c r="H389" s="5" t="n">
        <v>1.4</v>
      </c>
      <c r="I389" s="5" t="n">
        <v>22</v>
      </c>
      <c r="J389" s="5" t="n">
        <v>62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0.9</v>
      </c>
      <c r="Q389" s="5" t="n">
        <v>0.19</v>
      </c>
      <c r="R389" s="5" t="n">
        <v>2.1</v>
      </c>
      <c r="S389" s="5" t="n">
        <v>0.3</v>
      </c>
      <c r="T389" s="5" t="n">
        <v>444</v>
      </c>
      <c r="U389" s="5" t="n">
        <v>0</v>
      </c>
      <c r="V389" s="5" t="n">
        <v>123</v>
      </c>
      <c r="W389" s="5" t="n">
        <v>8</v>
      </c>
      <c r="X389" s="5" t="n">
        <v>171</v>
      </c>
      <c r="Y389" s="5" t="n">
        <v>3.6</v>
      </c>
      <c r="Z389" s="5" t="n">
        <v>1483</v>
      </c>
      <c r="AA389" s="7" t="n">
        <v>43.4</v>
      </c>
    </row>
    <row r="390" customFormat="false" ht="26.25" hidden="false" customHeight="true" outlineLevel="0" collapsed="false">
      <c r="A390" s="4" t="s">
        <v>444</v>
      </c>
      <c r="B390" s="4" t="s">
        <v>442</v>
      </c>
      <c r="C390" s="5" t="n">
        <v>1.4</v>
      </c>
      <c r="D390" s="5"/>
      <c r="E390" s="4" t="s">
        <v>29</v>
      </c>
      <c r="F390" s="6" t="s">
        <v>442</v>
      </c>
      <c r="G390" s="5" t="n">
        <v>347</v>
      </c>
      <c r="H390" s="5" t="n">
        <v>1.2</v>
      </c>
      <c r="I390" s="5" t="n">
        <v>21</v>
      </c>
      <c r="J390" s="5" t="n">
        <v>63</v>
      </c>
      <c r="K390" s="5" t="n">
        <v>0</v>
      </c>
      <c r="L390" s="5" t="n">
        <v>4.5</v>
      </c>
      <c r="M390" s="5" t="n">
        <v>0</v>
      </c>
      <c r="N390" s="5" t="n">
        <v>0</v>
      </c>
      <c r="O390" s="5" t="n">
        <v>0</v>
      </c>
      <c r="P390" s="5" t="n">
        <v>0.85</v>
      </c>
      <c r="Q390" s="5" t="n">
        <v>0.21</v>
      </c>
      <c r="R390" s="5" t="n">
        <v>2.2</v>
      </c>
      <c r="S390" s="5" t="n">
        <v>0.44</v>
      </c>
      <c r="T390" s="5" t="n">
        <v>525</v>
      </c>
      <c r="U390" s="5" t="n">
        <v>0</v>
      </c>
      <c r="V390" s="5" t="n">
        <v>113</v>
      </c>
      <c r="W390" s="5" t="n">
        <v>5.1</v>
      </c>
      <c r="X390" s="5" t="n">
        <v>176</v>
      </c>
      <c r="Y390" s="5" t="n">
        <v>2.3</v>
      </c>
      <c r="Z390" s="5" t="n">
        <v>1393</v>
      </c>
      <c r="AA390" s="7" t="n">
        <v>44.1</v>
      </c>
    </row>
    <row r="391" customFormat="false" ht="26.25" hidden="false" customHeight="true" outlineLevel="0" collapsed="false">
      <c r="A391" s="4" t="s">
        <v>445</v>
      </c>
      <c r="B391" s="4" t="s">
        <v>442</v>
      </c>
      <c r="C391" s="5" t="n">
        <v>1.4</v>
      </c>
      <c r="D391" s="5"/>
      <c r="E391" s="4" t="s">
        <v>29</v>
      </c>
      <c r="F391" s="6" t="s">
        <v>442</v>
      </c>
      <c r="G391" s="5" t="n">
        <v>338</v>
      </c>
      <c r="H391" s="5" t="n">
        <v>0.7</v>
      </c>
      <c r="I391" s="5" t="n">
        <v>21</v>
      </c>
      <c r="J391" s="5" t="n">
        <v>63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0.5</v>
      </c>
      <c r="Q391" s="5" t="n">
        <v>0.17</v>
      </c>
      <c r="R391" s="5" t="n">
        <v>1.6</v>
      </c>
      <c r="S391" s="5" t="n">
        <v>0.51</v>
      </c>
      <c r="T391" s="5" t="n">
        <v>395</v>
      </c>
      <c r="U391" s="5" t="n">
        <v>0</v>
      </c>
      <c r="V391" s="5" t="n">
        <v>81</v>
      </c>
      <c r="W391" s="5" t="n">
        <v>7.5</v>
      </c>
      <c r="X391" s="5" t="n">
        <v>224</v>
      </c>
      <c r="Y391" s="5" t="n">
        <v>2.8</v>
      </c>
      <c r="Z391" s="5" t="n">
        <v>1724</v>
      </c>
      <c r="AA391" s="7" t="n">
        <v>44.1</v>
      </c>
    </row>
    <row r="392" customFormat="false" ht="26.25" hidden="false" customHeight="true" outlineLevel="0" collapsed="false">
      <c r="A392" s="4" t="s">
        <v>446</v>
      </c>
      <c r="B392" s="4" t="s">
        <v>442</v>
      </c>
      <c r="C392" s="5" t="n">
        <v>1.3</v>
      </c>
      <c r="D392" s="5"/>
      <c r="E392" s="4" t="s">
        <v>29</v>
      </c>
      <c r="F392" s="6" t="s">
        <v>442</v>
      </c>
      <c r="G392" s="5" t="n">
        <v>347</v>
      </c>
      <c r="H392" s="5" t="n">
        <v>1.2</v>
      </c>
      <c r="I392" s="5" t="n">
        <v>24</v>
      </c>
      <c r="J392" s="5" t="n">
        <v>63</v>
      </c>
      <c r="K392" s="5" t="n">
        <v>24</v>
      </c>
      <c r="L392" s="5" t="n">
        <v>4.8</v>
      </c>
      <c r="M392" s="5" t="n">
        <v>0</v>
      </c>
      <c r="N392" s="5" t="n">
        <v>0.5</v>
      </c>
      <c r="O392" s="5" t="n">
        <v>9</v>
      </c>
      <c r="P392" s="5" t="n">
        <v>0.62</v>
      </c>
      <c r="Q392" s="5" t="n">
        <v>0.23</v>
      </c>
      <c r="R392" s="5" t="n">
        <v>2.3</v>
      </c>
      <c r="S392" s="5" t="n">
        <v>0.38</v>
      </c>
      <c r="T392" s="5" t="n">
        <v>625</v>
      </c>
      <c r="U392" s="5" t="n">
        <v>0</v>
      </c>
      <c r="V392" s="5" t="n">
        <v>132</v>
      </c>
      <c r="W392" s="5" t="n">
        <v>6.7</v>
      </c>
      <c r="X392" s="5" t="n">
        <v>189</v>
      </c>
      <c r="Y392" s="5" t="n">
        <v>2.7</v>
      </c>
      <c r="Z392" s="5" t="n">
        <v>1246</v>
      </c>
      <c r="AA392" s="7" t="n">
        <v>44.1</v>
      </c>
    </row>
    <row r="393" customFormat="false" ht="26.25" hidden="false" customHeight="true" outlineLevel="0" collapsed="false">
      <c r="A393" s="4" t="s">
        <v>447</v>
      </c>
      <c r="B393" s="4" t="s">
        <v>442</v>
      </c>
      <c r="C393" s="5" t="n">
        <v>1.4</v>
      </c>
      <c r="D393" s="5"/>
      <c r="E393" s="4" t="s">
        <v>29</v>
      </c>
      <c r="F393" s="6" t="s">
        <v>442</v>
      </c>
      <c r="G393" s="5" t="n">
        <v>329</v>
      </c>
      <c r="H393" s="5" t="n">
        <v>0.5</v>
      </c>
      <c r="I393" s="5" t="n">
        <v>20</v>
      </c>
      <c r="J393" s="5" t="n">
        <v>63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0.46</v>
      </c>
      <c r="Q393" s="5" t="n">
        <v>0.22</v>
      </c>
      <c r="R393" s="5" t="n">
        <v>2.6</v>
      </c>
      <c r="S393" s="5" t="n">
        <v>0.35</v>
      </c>
      <c r="T393" s="5" t="n">
        <v>622</v>
      </c>
      <c r="U393" s="5" t="n">
        <v>0</v>
      </c>
      <c r="V393" s="5" t="n">
        <v>66</v>
      </c>
      <c r="W393" s="5" t="n">
        <v>5</v>
      </c>
      <c r="X393" s="5" t="n">
        <v>127</v>
      </c>
      <c r="Y393" s="5" t="n">
        <v>5</v>
      </c>
      <c r="Z393" s="5" t="n">
        <v>1254</v>
      </c>
      <c r="AA393" s="7" t="n">
        <v>44.1</v>
      </c>
    </row>
    <row r="394" customFormat="false" ht="26.25" hidden="false" customHeight="true" outlineLevel="0" collapsed="false">
      <c r="A394" s="4" t="s">
        <v>448</v>
      </c>
      <c r="B394" s="4" t="s">
        <v>442</v>
      </c>
      <c r="C394" s="5" t="n">
        <v>1.4</v>
      </c>
      <c r="D394" s="5"/>
      <c r="E394" s="4" t="s">
        <v>29</v>
      </c>
      <c r="F394" s="6" t="s">
        <v>442</v>
      </c>
      <c r="G394" s="5" t="n">
        <v>336</v>
      </c>
      <c r="H394" s="5" t="n">
        <v>1.3</v>
      </c>
      <c r="I394" s="5" t="n">
        <v>24</v>
      </c>
      <c r="J394" s="5" t="n">
        <v>60</v>
      </c>
      <c r="K394" s="5" t="n">
        <v>3</v>
      </c>
      <c r="L394" s="5" t="n">
        <v>1.5</v>
      </c>
      <c r="M394" s="5" t="n">
        <v>0</v>
      </c>
      <c r="N394" s="5" t="n">
        <v>0</v>
      </c>
      <c r="O394" s="5" t="n">
        <v>0</v>
      </c>
      <c r="P394" s="5" t="n">
        <v>0.85</v>
      </c>
      <c r="Q394" s="5" t="n">
        <v>0.23</v>
      </c>
      <c r="R394" s="5" t="n">
        <v>2.1</v>
      </c>
      <c r="S394" s="5" t="n">
        <v>0.36</v>
      </c>
      <c r="T394" s="5" t="n">
        <v>633</v>
      </c>
      <c r="U394" s="5" t="n">
        <v>0</v>
      </c>
      <c r="V394" s="5" t="n">
        <v>110</v>
      </c>
      <c r="W394" s="5" t="n">
        <v>8.3</v>
      </c>
      <c r="X394" s="5" t="n">
        <v>184</v>
      </c>
      <c r="Y394" s="5" t="n">
        <v>3.4</v>
      </c>
      <c r="Z394" s="5" t="n">
        <v>1375</v>
      </c>
      <c r="AA394" s="7" t="n">
        <v>42</v>
      </c>
    </row>
    <row r="395" customFormat="false" ht="26.25" hidden="false" customHeight="true" outlineLevel="0" collapsed="false">
      <c r="A395" s="4" t="s">
        <v>449</v>
      </c>
      <c r="B395" s="4" t="s">
        <v>442</v>
      </c>
      <c r="C395" s="5" t="n">
        <v>1</v>
      </c>
      <c r="D395" s="5"/>
      <c r="E395" s="4" t="s">
        <v>29</v>
      </c>
      <c r="F395" s="6" t="s">
        <v>442</v>
      </c>
      <c r="G395" s="5" t="n">
        <v>446</v>
      </c>
      <c r="H395" s="5" t="n">
        <v>20</v>
      </c>
      <c r="I395" s="5" t="n">
        <v>36</v>
      </c>
      <c r="J395" s="5" t="n">
        <v>30</v>
      </c>
      <c r="K395" s="5" t="n">
        <v>1</v>
      </c>
      <c r="L395" s="5" t="n">
        <v>6</v>
      </c>
      <c r="M395" s="5" t="n">
        <v>0</v>
      </c>
      <c r="N395" s="5" t="n">
        <v>1.9</v>
      </c>
      <c r="O395" s="5" t="n">
        <v>47</v>
      </c>
      <c r="P395" s="5" t="n">
        <v>0.87</v>
      </c>
      <c r="Q395" s="5" t="n">
        <v>0.87</v>
      </c>
      <c r="R395" s="5" t="n">
        <v>1.6</v>
      </c>
      <c r="S395" s="5" t="n">
        <v>0.38</v>
      </c>
      <c r="T395" s="5" t="n">
        <v>375</v>
      </c>
      <c r="U395" s="5" t="n">
        <v>0</v>
      </c>
      <c r="V395" s="5" t="n">
        <v>277</v>
      </c>
      <c r="W395" s="5" t="n">
        <v>15.7</v>
      </c>
      <c r="X395" s="5" t="n">
        <v>280</v>
      </c>
      <c r="Y395" s="5" t="n">
        <v>4.9</v>
      </c>
      <c r="Z395" s="5" t="n">
        <v>1797</v>
      </c>
      <c r="AA395" s="7" t="n">
        <v>21</v>
      </c>
    </row>
    <row r="396" customFormat="false" ht="26.25" hidden="false" customHeight="true" outlineLevel="0" collapsed="false">
      <c r="A396" s="4" t="s">
        <v>450</v>
      </c>
      <c r="B396" s="4" t="s">
        <v>442</v>
      </c>
      <c r="C396" s="5" t="n">
        <v>0.9</v>
      </c>
      <c r="D396" s="5"/>
      <c r="E396" s="4" t="s">
        <v>29</v>
      </c>
      <c r="F396" s="6" t="s">
        <v>442</v>
      </c>
      <c r="G396" s="5" t="n">
        <v>122</v>
      </c>
      <c r="H396" s="5" t="n">
        <v>5.2</v>
      </c>
      <c r="I396" s="5" t="n">
        <v>11</v>
      </c>
      <c r="J396" s="5" t="n">
        <v>10</v>
      </c>
      <c r="K396" s="5" t="n">
        <v>5</v>
      </c>
      <c r="L396" s="5" t="n">
        <v>6.1</v>
      </c>
      <c r="M396" s="5" t="n">
        <v>0</v>
      </c>
      <c r="N396" s="5" t="n">
        <v>0</v>
      </c>
      <c r="O396" s="5" t="n">
        <v>0</v>
      </c>
      <c r="P396" s="5" t="n">
        <v>0.16</v>
      </c>
      <c r="Q396" s="5" t="n">
        <v>0.15</v>
      </c>
      <c r="R396" s="5" t="n">
        <v>1</v>
      </c>
      <c r="S396" s="5" t="n">
        <v>0.06</v>
      </c>
      <c r="T396" s="5" t="n">
        <v>311</v>
      </c>
      <c r="U396" s="5" t="n">
        <v>0</v>
      </c>
      <c r="V396" s="5" t="n">
        <v>63</v>
      </c>
      <c r="W396" s="5" t="n">
        <v>2.3</v>
      </c>
      <c r="X396" s="5" t="n">
        <v>64</v>
      </c>
      <c r="Y396" s="5" t="n">
        <v>1.4</v>
      </c>
      <c r="Z396" s="5" t="n">
        <v>436</v>
      </c>
      <c r="AA396" s="7" t="n">
        <v>1</v>
      </c>
    </row>
    <row r="397" customFormat="false" ht="26.25" hidden="false" customHeight="true" outlineLevel="0" collapsed="false">
      <c r="A397" s="4" t="s">
        <v>451</v>
      </c>
      <c r="B397" s="4" t="s">
        <v>442</v>
      </c>
      <c r="C397" s="5" t="n">
        <v>1.4</v>
      </c>
      <c r="D397" s="5"/>
      <c r="E397" s="4" t="s">
        <v>29</v>
      </c>
      <c r="F397" s="6" t="s">
        <v>442</v>
      </c>
      <c r="G397" s="5" t="n">
        <v>337</v>
      </c>
      <c r="H397" s="5" t="n">
        <v>1.2</v>
      </c>
      <c r="I397" s="5" t="n">
        <v>23</v>
      </c>
      <c r="J397" s="5" t="n">
        <v>61</v>
      </c>
      <c r="K397" s="5" t="n">
        <v>0</v>
      </c>
      <c r="L397" s="5" t="n">
        <v>0</v>
      </c>
      <c r="M397" s="5" t="n">
        <v>0</v>
      </c>
      <c r="N397" s="5" t="n">
        <v>0</v>
      </c>
      <c r="O397" s="5" t="n">
        <v>0</v>
      </c>
      <c r="P397" s="5" t="n">
        <v>0.5</v>
      </c>
      <c r="Q397" s="5" t="n">
        <v>0.15</v>
      </c>
      <c r="R397" s="5" t="n">
        <v>2</v>
      </c>
      <c r="S397" s="5" t="n">
        <v>0.35</v>
      </c>
      <c r="T397" s="5" t="n">
        <v>400</v>
      </c>
      <c r="U397" s="5" t="n">
        <v>0</v>
      </c>
      <c r="V397" s="5" t="n">
        <v>130</v>
      </c>
      <c r="W397" s="5" t="n">
        <v>7.5</v>
      </c>
      <c r="X397" s="5" t="n">
        <v>150</v>
      </c>
      <c r="Y397" s="5" t="n">
        <v>2.5</v>
      </c>
      <c r="Z397" s="5" t="n">
        <v>1400</v>
      </c>
      <c r="AA397" s="7" t="n">
        <v>1.2</v>
      </c>
    </row>
    <row r="398" customFormat="false" ht="26.25" hidden="false" customHeight="true" outlineLevel="0" collapsed="false">
      <c r="A398" s="4" t="s">
        <v>452</v>
      </c>
      <c r="B398" s="4" t="s">
        <v>442</v>
      </c>
      <c r="C398" s="5" t="n">
        <v>1.3</v>
      </c>
      <c r="D398" s="5"/>
      <c r="E398" s="4" t="s">
        <v>29</v>
      </c>
      <c r="F398" s="6" t="s">
        <v>442</v>
      </c>
      <c r="G398" s="5" t="n">
        <v>387</v>
      </c>
      <c r="H398" s="5" t="n">
        <v>6.7</v>
      </c>
      <c r="I398" s="5" t="n">
        <v>22</v>
      </c>
      <c r="J398" s="5" t="n">
        <v>58</v>
      </c>
      <c r="K398" s="5" t="n">
        <v>1</v>
      </c>
      <c r="L398" s="5" t="n">
        <v>3</v>
      </c>
      <c r="M398" s="5" t="n">
        <v>0</v>
      </c>
      <c r="N398" s="5" t="n">
        <v>0.7</v>
      </c>
      <c r="O398" s="5" t="n">
        <v>0</v>
      </c>
      <c r="P398" s="5" t="n">
        <v>0.48</v>
      </c>
      <c r="Q398" s="5" t="n">
        <v>0.21</v>
      </c>
      <c r="R398" s="5" t="n">
        <v>2.6</v>
      </c>
      <c r="S398" s="5" t="n">
        <v>0.53</v>
      </c>
      <c r="T398" s="5" t="n">
        <v>437</v>
      </c>
      <c r="U398" s="5" t="n">
        <v>0</v>
      </c>
      <c r="V398" s="5" t="n">
        <v>45</v>
      </c>
      <c r="W398" s="5" t="n">
        <v>4.9</v>
      </c>
      <c r="X398" s="5" t="n">
        <v>166</v>
      </c>
      <c r="Y398" s="5" t="n">
        <v>2.5</v>
      </c>
      <c r="Z398" s="5" t="n">
        <v>846</v>
      </c>
      <c r="AA398" s="7" t="n">
        <v>2.9</v>
      </c>
    </row>
    <row r="399" customFormat="false" ht="15" hidden="false" customHeight="true" outlineLevel="0" collapsed="false">
      <c r="A399" s="4" t="s">
        <v>453</v>
      </c>
      <c r="B399" s="4" t="s">
        <v>454</v>
      </c>
      <c r="C399" s="5" t="n">
        <v>0.7</v>
      </c>
      <c r="D399" s="5"/>
      <c r="E399" s="4" t="s">
        <v>29</v>
      </c>
      <c r="F399" s="6" t="s">
        <v>454</v>
      </c>
      <c r="G399" s="5" t="n">
        <v>216</v>
      </c>
      <c r="H399" s="5" t="n">
        <v>1.5</v>
      </c>
      <c r="I399" s="5" t="n">
        <v>8</v>
      </c>
      <c r="J399" s="5" t="n">
        <v>42</v>
      </c>
      <c r="K399" s="5" t="n">
        <v>0</v>
      </c>
      <c r="L399" s="5" t="n">
        <v>0</v>
      </c>
      <c r="M399" s="5" t="n">
        <v>0</v>
      </c>
      <c r="N399" s="5" t="n">
        <v>0.4</v>
      </c>
      <c r="O399" s="5" t="n">
        <v>0</v>
      </c>
      <c r="P399" s="5" t="n">
        <v>0.3</v>
      </c>
      <c r="Q399" s="5" t="n">
        <v>0.15</v>
      </c>
      <c r="R399" s="5" t="n">
        <v>3</v>
      </c>
      <c r="S399" s="5" t="n">
        <v>0.2</v>
      </c>
      <c r="T399" s="5" t="n">
        <v>40</v>
      </c>
      <c r="U399" s="5" t="n">
        <v>0</v>
      </c>
      <c r="V399" s="5" t="n">
        <v>40</v>
      </c>
      <c r="W399" s="5" t="n">
        <v>2.5</v>
      </c>
      <c r="X399" s="5" t="n">
        <v>60</v>
      </c>
      <c r="Y399" s="5" t="n">
        <v>1.5</v>
      </c>
      <c r="Z399" s="5" t="n">
        <v>280</v>
      </c>
      <c r="AA399" s="7" t="n">
        <v>1.7</v>
      </c>
    </row>
    <row r="400" customFormat="false" ht="15" hidden="false" customHeight="true" outlineLevel="0" collapsed="false">
      <c r="A400" s="4" t="s">
        <v>455</v>
      </c>
      <c r="B400" s="4" t="s">
        <v>454</v>
      </c>
      <c r="C400" s="5" t="n">
        <v>0.6</v>
      </c>
      <c r="D400" s="5"/>
      <c r="E400" s="4" t="s">
        <v>29</v>
      </c>
      <c r="F400" s="6" t="s">
        <v>454</v>
      </c>
      <c r="G400" s="5" t="n">
        <v>209</v>
      </c>
      <c r="H400" s="5" t="n">
        <v>1</v>
      </c>
      <c r="I400" s="5" t="n">
        <v>6.5</v>
      </c>
      <c r="J400" s="5" t="n">
        <v>44</v>
      </c>
      <c r="K400" s="5" t="n">
        <v>0</v>
      </c>
      <c r="L400" s="5" t="n">
        <v>0</v>
      </c>
      <c r="M400" s="5" t="n">
        <v>0</v>
      </c>
      <c r="N400" s="5" t="n">
        <v>0.3</v>
      </c>
      <c r="O400" s="5" t="n">
        <v>0</v>
      </c>
      <c r="P400" s="5" t="n">
        <v>0.2</v>
      </c>
      <c r="Q400" s="5" t="n">
        <v>0.1</v>
      </c>
      <c r="R400" s="5" t="n">
        <v>1.5</v>
      </c>
      <c r="S400" s="5" t="n">
        <v>0.1</v>
      </c>
      <c r="T400" s="5" t="n">
        <v>30</v>
      </c>
      <c r="U400" s="5" t="n">
        <v>0</v>
      </c>
      <c r="V400" s="5" t="n">
        <v>25</v>
      </c>
      <c r="W400" s="5" t="n">
        <v>2</v>
      </c>
      <c r="X400" s="5" t="n">
        <v>40</v>
      </c>
      <c r="Y400" s="5" t="n">
        <v>1</v>
      </c>
      <c r="Z400" s="5" t="n">
        <v>180</v>
      </c>
      <c r="AA400" s="7" t="n">
        <v>1.8</v>
      </c>
    </row>
    <row r="401" customFormat="false" ht="15" hidden="false" customHeight="true" outlineLevel="0" collapsed="false">
      <c r="A401" s="4" t="s">
        <v>456</v>
      </c>
      <c r="B401" s="4" t="s">
        <v>454</v>
      </c>
      <c r="C401" s="5" t="n">
        <v>0.7</v>
      </c>
      <c r="D401" s="5"/>
      <c r="E401" s="4" t="s">
        <v>29</v>
      </c>
      <c r="F401" s="6" t="s">
        <v>454</v>
      </c>
      <c r="G401" s="5" t="n">
        <v>218</v>
      </c>
      <c r="H401" s="5" t="n">
        <v>1</v>
      </c>
      <c r="I401" s="5" t="n">
        <v>7.5</v>
      </c>
      <c r="J401" s="5" t="n">
        <v>45</v>
      </c>
      <c r="K401" s="5" t="n">
        <v>0</v>
      </c>
      <c r="L401" s="5" t="n">
        <v>0</v>
      </c>
      <c r="M401" s="5" t="n">
        <v>0</v>
      </c>
      <c r="N401" s="5" t="n">
        <v>0.3</v>
      </c>
      <c r="O401" s="5" t="n">
        <v>0</v>
      </c>
      <c r="P401" s="5" t="n">
        <v>0.18</v>
      </c>
      <c r="Q401" s="5" t="n">
        <v>0.1</v>
      </c>
      <c r="R401" s="5" t="n">
        <v>1.8</v>
      </c>
      <c r="S401" s="5" t="n">
        <v>0.1</v>
      </c>
      <c r="T401" s="5" t="n">
        <v>25</v>
      </c>
      <c r="U401" s="5" t="n">
        <v>0</v>
      </c>
      <c r="V401" s="5" t="n">
        <v>25</v>
      </c>
      <c r="W401" s="5" t="n">
        <v>1.8</v>
      </c>
      <c r="X401" s="5" t="n">
        <v>35</v>
      </c>
      <c r="Y401" s="5" t="n">
        <v>0.9</v>
      </c>
      <c r="Z401" s="5" t="n">
        <v>150</v>
      </c>
      <c r="AA401" s="7" t="n">
        <v>1.8</v>
      </c>
    </row>
    <row r="402" customFormat="false" ht="15" hidden="false" customHeight="true" outlineLevel="0" collapsed="false">
      <c r="A402" s="4" t="s">
        <v>457</v>
      </c>
      <c r="B402" s="4" t="s">
        <v>454</v>
      </c>
      <c r="C402" s="5" t="n">
        <v>0.9</v>
      </c>
      <c r="D402" s="5"/>
      <c r="E402" s="4" t="s">
        <v>29</v>
      </c>
      <c r="F402" s="6" t="s">
        <v>454</v>
      </c>
      <c r="G402" s="5" t="n">
        <v>265</v>
      </c>
      <c r="H402" s="5" t="n">
        <v>3.5</v>
      </c>
      <c r="I402" s="5" t="n">
        <v>8.5</v>
      </c>
      <c r="J402" s="5" t="n">
        <v>49</v>
      </c>
      <c r="K402" s="5" t="n">
        <v>0</v>
      </c>
      <c r="L402" s="5" t="n">
        <v>0</v>
      </c>
      <c r="M402" s="5" t="n">
        <v>0</v>
      </c>
      <c r="N402" s="5" t="n">
        <v>0.5</v>
      </c>
      <c r="O402" s="5" t="n">
        <v>0</v>
      </c>
      <c r="P402" s="5" t="n">
        <v>0.2</v>
      </c>
      <c r="Q402" s="5" t="n">
        <v>0.15</v>
      </c>
      <c r="R402" s="5" t="n">
        <v>2.5</v>
      </c>
      <c r="S402" s="5" t="n">
        <v>0.08</v>
      </c>
      <c r="T402" s="5" t="n">
        <v>30</v>
      </c>
      <c r="U402" s="5" t="n">
        <v>0</v>
      </c>
      <c r="V402" s="5" t="n">
        <v>100</v>
      </c>
      <c r="W402" s="5" t="n">
        <v>2</v>
      </c>
      <c r="X402" s="5" t="n">
        <v>20</v>
      </c>
      <c r="Y402" s="5" t="n">
        <v>0.7</v>
      </c>
      <c r="Z402" s="5" t="n">
        <v>120</v>
      </c>
      <c r="AA402" s="7" t="n">
        <v>2</v>
      </c>
    </row>
    <row r="403" customFormat="false" ht="15" hidden="false" customHeight="true" outlineLevel="0" collapsed="false">
      <c r="A403" s="4" t="s">
        <v>458</v>
      </c>
      <c r="B403" s="4" t="s">
        <v>454</v>
      </c>
      <c r="C403" s="5" t="n">
        <v>0.8</v>
      </c>
      <c r="D403" s="5"/>
      <c r="E403" s="4" t="s">
        <v>29</v>
      </c>
      <c r="F403" s="6" t="s">
        <v>454</v>
      </c>
      <c r="G403" s="5" t="n">
        <v>270</v>
      </c>
      <c r="H403" s="5" t="n">
        <v>1.5</v>
      </c>
      <c r="I403" s="5" t="n">
        <v>9</v>
      </c>
      <c r="J403" s="5" t="n">
        <v>55</v>
      </c>
      <c r="K403" s="5" t="n">
        <v>0</v>
      </c>
      <c r="L403" s="5" t="n">
        <v>0</v>
      </c>
      <c r="M403" s="5" t="n">
        <v>0</v>
      </c>
      <c r="N403" s="5" t="n">
        <v>0.3</v>
      </c>
      <c r="O403" s="5" t="n">
        <v>0</v>
      </c>
      <c r="P403" s="5" t="n">
        <v>0.2</v>
      </c>
      <c r="Q403" s="5" t="n">
        <v>0.12</v>
      </c>
      <c r="R403" s="5" t="n">
        <v>2.5</v>
      </c>
      <c r="S403" s="5" t="n">
        <v>0.06</v>
      </c>
      <c r="T403" s="5" t="n">
        <v>20</v>
      </c>
      <c r="U403" s="5" t="n">
        <v>0</v>
      </c>
      <c r="V403" s="5" t="n">
        <v>20</v>
      </c>
      <c r="W403" s="5" t="n">
        <v>1.5</v>
      </c>
      <c r="X403" s="5" t="n">
        <v>20</v>
      </c>
      <c r="Y403" s="5" t="n">
        <v>0.6</v>
      </c>
      <c r="Z403" s="5" t="n">
        <v>110</v>
      </c>
      <c r="AA403" s="7" t="n">
        <v>2.2</v>
      </c>
    </row>
    <row r="404" customFormat="false" ht="15" hidden="false" customHeight="true" outlineLevel="0" collapsed="false">
      <c r="A404" s="4" t="s">
        <v>459</v>
      </c>
      <c r="B404" s="4" t="s">
        <v>454</v>
      </c>
      <c r="C404" s="5" t="n">
        <v>0.8</v>
      </c>
      <c r="D404" s="5"/>
      <c r="E404" s="4" t="s">
        <v>29</v>
      </c>
      <c r="F404" s="6" t="s">
        <v>454</v>
      </c>
      <c r="G404" s="5" t="n">
        <v>271</v>
      </c>
      <c r="H404" s="5" t="n">
        <v>3.5</v>
      </c>
      <c r="I404" s="5" t="n">
        <v>9</v>
      </c>
      <c r="J404" s="5" t="n">
        <v>52</v>
      </c>
      <c r="K404" s="5" t="n">
        <v>0</v>
      </c>
      <c r="L404" s="5" t="n">
        <v>0</v>
      </c>
      <c r="M404" s="5" t="n">
        <v>0</v>
      </c>
      <c r="N404" s="5" t="n">
        <v>0.4</v>
      </c>
      <c r="O404" s="5" t="n">
        <v>0</v>
      </c>
      <c r="P404" s="5" t="n">
        <v>0.2</v>
      </c>
      <c r="Q404" s="5" t="n">
        <v>0.12</v>
      </c>
      <c r="R404" s="5" t="n">
        <v>2.5</v>
      </c>
      <c r="S404" s="5" t="n">
        <v>0.06</v>
      </c>
      <c r="T404" s="5" t="n">
        <v>20</v>
      </c>
      <c r="U404" s="5" t="n">
        <v>0</v>
      </c>
      <c r="V404" s="5" t="n">
        <v>20</v>
      </c>
      <c r="W404" s="5" t="n">
        <v>1.5</v>
      </c>
      <c r="X404" s="5" t="n">
        <v>20</v>
      </c>
      <c r="Y404" s="5" t="n">
        <v>0.6</v>
      </c>
      <c r="Z404" s="5" t="n">
        <v>110</v>
      </c>
      <c r="AA404" s="7" t="n">
        <v>2.1</v>
      </c>
    </row>
    <row r="405" customFormat="false" ht="15" hidden="false" customHeight="true" outlineLevel="0" collapsed="false">
      <c r="A405" s="4" t="s">
        <v>460</v>
      </c>
      <c r="B405" s="4" t="s">
        <v>454</v>
      </c>
      <c r="C405" s="5" t="n">
        <v>0.8</v>
      </c>
      <c r="D405" s="5"/>
      <c r="E405" s="4" t="s">
        <v>29</v>
      </c>
      <c r="F405" s="6" t="s">
        <v>454</v>
      </c>
      <c r="G405" s="5" t="n">
        <v>310</v>
      </c>
      <c r="H405" s="5" t="n">
        <v>5</v>
      </c>
      <c r="I405" s="5" t="n">
        <v>9.5</v>
      </c>
      <c r="J405" s="5" t="n">
        <v>55</v>
      </c>
      <c r="K405" s="5" t="n">
        <v>0</v>
      </c>
      <c r="L405" s="5" t="n">
        <v>0</v>
      </c>
      <c r="M405" s="5" t="n">
        <v>0</v>
      </c>
      <c r="N405" s="5" t="n">
        <v>0.4</v>
      </c>
      <c r="O405" s="5" t="n">
        <v>0</v>
      </c>
      <c r="P405" s="5" t="n">
        <v>0.25</v>
      </c>
      <c r="Q405" s="5" t="n">
        <v>0.15</v>
      </c>
      <c r="R405" s="5" t="n">
        <v>3</v>
      </c>
      <c r="S405" s="5" t="n">
        <v>0.08</v>
      </c>
      <c r="T405" s="5" t="n">
        <v>25</v>
      </c>
      <c r="U405" s="5" t="n">
        <v>0</v>
      </c>
      <c r="V405" s="5" t="n">
        <v>40</v>
      </c>
      <c r="W405" s="5" t="n">
        <v>2.5</v>
      </c>
      <c r="X405" s="5" t="n">
        <v>25</v>
      </c>
      <c r="Y405" s="5" t="n">
        <v>0.7</v>
      </c>
      <c r="Z405" s="5" t="n">
        <v>150</v>
      </c>
      <c r="AA405" s="7" t="n">
        <v>2.2</v>
      </c>
    </row>
    <row r="406" customFormat="false" ht="15" hidden="false" customHeight="true" outlineLevel="0" collapsed="false">
      <c r="A406" s="4" t="s">
        <v>461</v>
      </c>
      <c r="B406" s="4" t="s">
        <v>454</v>
      </c>
      <c r="C406" s="5" t="n">
        <v>0.7</v>
      </c>
      <c r="D406" s="5"/>
      <c r="E406" s="4" t="s">
        <v>29</v>
      </c>
      <c r="F406" s="6" t="s">
        <v>454</v>
      </c>
      <c r="G406" s="5" t="n">
        <v>275</v>
      </c>
      <c r="H406" s="5" t="n">
        <v>1.2</v>
      </c>
      <c r="I406" s="5" t="n">
        <v>9</v>
      </c>
      <c r="J406" s="5" t="n">
        <v>56</v>
      </c>
      <c r="K406" s="5" t="n">
        <v>0</v>
      </c>
      <c r="L406" s="5" t="n">
        <v>0</v>
      </c>
      <c r="M406" s="5" t="n">
        <v>0</v>
      </c>
      <c r="N406" s="5" t="n">
        <v>0.3</v>
      </c>
      <c r="O406" s="5" t="n">
        <v>0</v>
      </c>
      <c r="P406" s="5" t="n">
        <v>0.25</v>
      </c>
      <c r="Q406" s="5" t="n">
        <v>0.13</v>
      </c>
      <c r="R406" s="5" t="n">
        <v>3</v>
      </c>
      <c r="S406" s="5" t="n">
        <v>0.07</v>
      </c>
      <c r="T406" s="5" t="n">
        <v>25</v>
      </c>
      <c r="U406" s="5" t="n">
        <v>0</v>
      </c>
      <c r="V406" s="5" t="n">
        <v>30</v>
      </c>
      <c r="W406" s="5" t="n">
        <v>2</v>
      </c>
      <c r="X406" s="5" t="n">
        <v>25</v>
      </c>
      <c r="Y406" s="5" t="n">
        <v>0.7</v>
      </c>
      <c r="Z406" s="5" t="n">
        <v>120</v>
      </c>
      <c r="AA406" s="7" t="n">
        <v>2.2</v>
      </c>
    </row>
    <row r="407" customFormat="false" ht="15" hidden="false" customHeight="true" outlineLevel="0" collapsed="false">
      <c r="A407" s="4" t="s">
        <v>462</v>
      </c>
      <c r="B407" s="4" t="s">
        <v>454</v>
      </c>
      <c r="C407" s="5" t="n">
        <v>0.9</v>
      </c>
      <c r="D407" s="5"/>
      <c r="E407" s="4" t="s">
        <v>29</v>
      </c>
      <c r="F407" s="6" t="s">
        <v>454</v>
      </c>
      <c r="G407" s="5" t="n">
        <v>340</v>
      </c>
      <c r="H407" s="5" t="n">
        <v>4.5</v>
      </c>
      <c r="I407" s="5" t="n">
        <v>9.5</v>
      </c>
      <c r="J407" s="5" t="n">
        <v>64</v>
      </c>
      <c r="K407" s="5" t="n">
        <v>0</v>
      </c>
      <c r="L407" s="5" t="n">
        <v>0</v>
      </c>
      <c r="M407" s="5" t="n">
        <v>0</v>
      </c>
      <c r="N407" s="5" t="n">
        <v>0.5</v>
      </c>
      <c r="O407" s="5" t="n">
        <v>0</v>
      </c>
      <c r="P407" s="5" t="n">
        <v>0.2</v>
      </c>
      <c r="Q407" s="5" t="n">
        <v>0.15</v>
      </c>
      <c r="R407" s="5" t="n">
        <v>2.5</v>
      </c>
      <c r="S407" s="5" t="n">
        <v>0.08</v>
      </c>
      <c r="T407" s="5" t="n">
        <v>25</v>
      </c>
      <c r="U407" s="5" t="n">
        <v>0</v>
      </c>
      <c r="V407" s="5" t="n">
        <v>20</v>
      </c>
      <c r="W407" s="5" t="n">
        <v>1.8</v>
      </c>
      <c r="X407" s="5" t="n">
        <v>20</v>
      </c>
      <c r="Y407" s="5" t="n">
        <v>0.7</v>
      </c>
      <c r="Z407" s="5" t="n">
        <v>110</v>
      </c>
      <c r="AA407" s="7" t="n">
        <v>1.9</v>
      </c>
    </row>
    <row r="408" customFormat="false" ht="15" hidden="false" customHeight="true" outlineLevel="0" collapsed="false">
      <c r="A408" s="4" t="s">
        <v>463</v>
      </c>
      <c r="B408" s="4" t="s">
        <v>454</v>
      </c>
      <c r="C408" s="5" t="n">
        <v>1.6</v>
      </c>
      <c r="D408" s="5"/>
      <c r="E408" s="4" t="s">
        <v>29</v>
      </c>
      <c r="F408" s="6" t="s">
        <v>454</v>
      </c>
      <c r="G408" s="5" t="n">
        <v>400</v>
      </c>
      <c r="H408" s="5" t="n">
        <v>26</v>
      </c>
      <c r="I408" s="5" t="n">
        <v>6</v>
      </c>
      <c r="J408" s="5" t="n">
        <v>37</v>
      </c>
      <c r="K408" s="5" t="n">
        <v>500</v>
      </c>
      <c r="L408" s="5" t="n">
        <v>0</v>
      </c>
      <c r="M408" s="5" t="n">
        <v>0</v>
      </c>
      <c r="N408" s="5" t="n">
        <v>3</v>
      </c>
      <c r="O408" s="5" t="n">
        <v>60</v>
      </c>
      <c r="P408" s="5" t="n">
        <v>0.15</v>
      </c>
      <c r="Q408" s="5" t="n">
        <v>0.1</v>
      </c>
      <c r="R408" s="5" t="n">
        <v>2</v>
      </c>
      <c r="S408" s="5" t="n">
        <v>0.05</v>
      </c>
      <c r="T408" s="5" t="n">
        <v>20</v>
      </c>
      <c r="U408" s="5" t="n">
        <v>0</v>
      </c>
      <c r="V408" s="5" t="n">
        <v>15</v>
      </c>
      <c r="W408" s="5" t="n">
        <v>1.5</v>
      </c>
      <c r="X408" s="5" t="n">
        <v>15</v>
      </c>
      <c r="Y408" s="5" t="n">
        <v>0.5</v>
      </c>
      <c r="Z408" s="5" t="n">
        <v>80</v>
      </c>
      <c r="AA408" s="7" t="n">
        <v>1.9</v>
      </c>
    </row>
    <row r="409" customFormat="false" ht="15" hidden="false" customHeight="true" outlineLevel="0" collapsed="false">
      <c r="A409" s="4" t="s">
        <v>464</v>
      </c>
      <c r="B409" s="4" t="s">
        <v>454</v>
      </c>
      <c r="C409" s="5" t="n">
        <v>0.8</v>
      </c>
      <c r="D409" s="5"/>
      <c r="E409" s="4" t="s">
        <v>29</v>
      </c>
      <c r="F409" s="6" t="s">
        <v>454</v>
      </c>
      <c r="G409" s="5" t="n">
        <v>267</v>
      </c>
      <c r="H409" s="5" t="n">
        <v>4</v>
      </c>
      <c r="I409" s="5" t="n">
        <v>9</v>
      </c>
      <c r="J409" s="5" t="n">
        <v>50</v>
      </c>
      <c r="K409" s="5" t="n">
        <v>0</v>
      </c>
      <c r="L409" s="5" t="n">
        <v>0</v>
      </c>
      <c r="M409" s="5" t="n">
        <v>0</v>
      </c>
      <c r="N409" s="5" t="n">
        <v>0.3</v>
      </c>
      <c r="O409" s="5" t="n">
        <v>0</v>
      </c>
      <c r="P409" s="5" t="n">
        <v>0.2</v>
      </c>
      <c r="Q409" s="5" t="n">
        <v>0.12</v>
      </c>
      <c r="R409" s="5" t="n">
        <v>2.5</v>
      </c>
      <c r="S409" s="5" t="n">
        <v>0.06</v>
      </c>
      <c r="T409" s="5" t="n">
        <v>20</v>
      </c>
      <c r="U409" s="5" t="n">
        <v>0</v>
      </c>
      <c r="V409" s="5" t="n">
        <v>20</v>
      </c>
      <c r="W409" s="5" t="n">
        <v>1.5</v>
      </c>
      <c r="X409" s="5" t="n">
        <v>20</v>
      </c>
      <c r="Y409" s="5" t="n">
        <v>0.6</v>
      </c>
      <c r="Z409" s="5" t="n">
        <v>110</v>
      </c>
      <c r="AA409" s="7" t="n">
        <v>1</v>
      </c>
    </row>
    <row r="410" customFormat="false" ht="15" hidden="false" customHeight="true" outlineLevel="0" collapsed="false">
      <c r="A410" s="4" t="s">
        <v>465</v>
      </c>
      <c r="B410" s="4" t="s">
        <v>454</v>
      </c>
      <c r="C410" s="5" t="n">
        <v>0.9</v>
      </c>
      <c r="D410" s="5"/>
      <c r="E410" s="4" t="s">
        <v>29</v>
      </c>
      <c r="F410" s="6" t="s">
        <v>454</v>
      </c>
      <c r="G410" s="5" t="n">
        <v>310</v>
      </c>
      <c r="H410" s="5" t="n">
        <v>7</v>
      </c>
      <c r="I410" s="5" t="n">
        <v>8.5</v>
      </c>
      <c r="J410" s="5" t="n">
        <v>51</v>
      </c>
      <c r="K410" s="5" t="n">
        <v>0</v>
      </c>
      <c r="L410" s="5" t="n">
        <v>0</v>
      </c>
      <c r="M410" s="5" t="n">
        <v>0</v>
      </c>
      <c r="N410" s="5" t="n">
        <v>0.4</v>
      </c>
      <c r="O410" s="5" t="n">
        <v>0</v>
      </c>
      <c r="P410" s="5" t="n">
        <v>0.2</v>
      </c>
      <c r="Q410" s="5" t="n">
        <v>0.12</v>
      </c>
      <c r="R410" s="5" t="n">
        <v>2.5</v>
      </c>
      <c r="S410" s="5" t="n">
        <v>0.06</v>
      </c>
      <c r="T410" s="5" t="n">
        <v>90</v>
      </c>
      <c r="U410" s="5" t="n">
        <v>0</v>
      </c>
      <c r="V410" s="5" t="n">
        <v>60</v>
      </c>
      <c r="W410" s="5" t="n">
        <v>2.5</v>
      </c>
      <c r="X410" s="5" t="n">
        <v>20</v>
      </c>
      <c r="Y410" s="5" t="n">
        <v>0.6</v>
      </c>
      <c r="Z410" s="5" t="n">
        <v>120</v>
      </c>
      <c r="AA410" s="7" t="n">
        <v>1.5</v>
      </c>
    </row>
    <row r="411" customFormat="false" ht="15" hidden="false" customHeight="true" outlineLevel="0" collapsed="false">
      <c r="A411" s="4" t="s">
        <v>466</v>
      </c>
      <c r="B411" s="4" t="s">
        <v>454</v>
      </c>
      <c r="C411" s="5" t="n">
        <v>0.9</v>
      </c>
      <c r="D411" s="5"/>
      <c r="E411" s="4" t="s">
        <v>29</v>
      </c>
      <c r="F411" s="6" t="s">
        <v>454</v>
      </c>
      <c r="G411" s="5" t="n">
        <v>355</v>
      </c>
      <c r="H411" s="5" t="n">
        <v>1.5</v>
      </c>
      <c r="I411" s="5" t="n">
        <v>10</v>
      </c>
      <c r="J411" s="5" t="n">
        <v>71</v>
      </c>
      <c r="K411" s="5" t="n">
        <v>0</v>
      </c>
      <c r="L411" s="5" t="n">
        <v>0</v>
      </c>
      <c r="M411" s="5" t="n">
        <v>0</v>
      </c>
      <c r="N411" s="5" t="n">
        <v>0.4</v>
      </c>
      <c r="O411" s="5" t="n">
        <v>0</v>
      </c>
      <c r="P411" s="5" t="n">
        <v>0.25</v>
      </c>
      <c r="Q411" s="5" t="n">
        <v>0.15</v>
      </c>
      <c r="R411" s="5" t="n">
        <v>3.5</v>
      </c>
      <c r="S411" s="5" t="n">
        <v>0.2</v>
      </c>
      <c r="T411" s="5" t="n">
        <v>30</v>
      </c>
      <c r="U411" s="5" t="n">
        <v>0</v>
      </c>
      <c r="V411" s="5" t="n">
        <v>30</v>
      </c>
      <c r="W411" s="5" t="n">
        <v>3</v>
      </c>
      <c r="X411" s="5" t="n">
        <v>60</v>
      </c>
      <c r="Y411" s="5" t="n">
        <v>1.5</v>
      </c>
      <c r="Z411" s="5" t="n">
        <v>300</v>
      </c>
      <c r="AA411" s="7" t="n">
        <v>2.8</v>
      </c>
    </row>
    <row r="412" customFormat="false" ht="15" hidden="false" customHeight="true" outlineLevel="0" collapsed="false">
      <c r="A412" s="4" t="s">
        <v>467</v>
      </c>
      <c r="B412" s="4" t="s">
        <v>454</v>
      </c>
      <c r="C412" s="5" t="n">
        <v>1</v>
      </c>
      <c r="D412" s="5"/>
      <c r="E412" s="4" t="s">
        <v>29</v>
      </c>
      <c r="F412" s="6" t="s">
        <v>454</v>
      </c>
      <c r="G412" s="5" t="n">
        <v>390</v>
      </c>
      <c r="H412" s="5" t="n">
        <v>7</v>
      </c>
      <c r="I412" s="5" t="n">
        <v>10</v>
      </c>
      <c r="J412" s="5" t="n">
        <v>72</v>
      </c>
      <c r="K412" s="5" t="n">
        <v>0</v>
      </c>
      <c r="L412" s="5" t="n">
        <v>0</v>
      </c>
      <c r="M412" s="5" t="n">
        <v>0</v>
      </c>
      <c r="N412" s="5" t="n">
        <v>0.5</v>
      </c>
      <c r="O412" s="5" t="n">
        <v>0</v>
      </c>
      <c r="P412" s="5" t="n">
        <v>0.15</v>
      </c>
      <c r="Q412" s="5" t="n">
        <v>0.1</v>
      </c>
      <c r="R412" s="5" t="n">
        <v>2</v>
      </c>
      <c r="S412" s="5" t="n">
        <v>0.1</v>
      </c>
      <c r="T412" s="5" t="n">
        <v>20</v>
      </c>
      <c r="U412" s="5" t="n">
        <v>0</v>
      </c>
      <c r="V412" s="5" t="n">
        <v>30</v>
      </c>
      <c r="W412" s="5" t="n">
        <v>2</v>
      </c>
      <c r="X412" s="5" t="n">
        <v>20</v>
      </c>
      <c r="Y412" s="5" t="n">
        <v>0.6</v>
      </c>
      <c r="Z412" s="5" t="n">
        <v>120</v>
      </c>
      <c r="AA412" s="7" t="n">
        <v>7.2</v>
      </c>
    </row>
    <row r="413" customFormat="false" ht="15" hidden="false" customHeight="true" outlineLevel="0" collapsed="false">
      <c r="A413" s="4" t="s">
        <v>468</v>
      </c>
      <c r="B413" s="4" t="s">
        <v>454</v>
      </c>
      <c r="C413" s="5" t="n">
        <v>1.5</v>
      </c>
      <c r="D413" s="5"/>
      <c r="E413" s="4" t="s">
        <v>29</v>
      </c>
      <c r="F413" s="6" t="s">
        <v>454</v>
      </c>
      <c r="G413" s="5" t="n">
        <v>440</v>
      </c>
      <c r="H413" s="5" t="n">
        <v>15</v>
      </c>
      <c r="I413" s="5" t="n">
        <v>6.5</v>
      </c>
      <c r="J413" s="5" t="n">
        <v>72</v>
      </c>
      <c r="K413" s="5" t="n">
        <v>100</v>
      </c>
      <c r="L413" s="5" t="n">
        <v>0</v>
      </c>
      <c r="M413" s="5" t="n">
        <v>0</v>
      </c>
      <c r="N413" s="5" t="n">
        <v>1</v>
      </c>
      <c r="O413" s="5" t="n">
        <v>3</v>
      </c>
      <c r="P413" s="5" t="n">
        <v>0.1</v>
      </c>
      <c r="Q413" s="5" t="n">
        <v>0.1</v>
      </c>
      <c r="R413" s="5" t="n">
        <v>2</v>
      </c>
      <c r="S413" s="5" t="n">
        <v>0.05</v>
      </c>
      <c r="T413" s="5" t="n">
        <v>15</v>
      </c>
      <c r="U413" s="5" t="n">
        <v>0</v>
      </c>
      <c r="V413" s="5" t="n">
        <v>30</v>
      </c>
      <c r="W413" s="5" t="n">
        <v>1.5</v>
      </c>
      <c r="X413" s="5" t="n">
        <v>15</v>
      </c>
      <c r="Y413" s="5" t="n">
        <v>0.4</v>
      </c>
      <c r="Z413" s="5" t="n">
        <v>90</v>
      </c>
      <c r="AA413" s="7" t="n">
        <v>1.4</v>
      </c>
    </row>
    <row r="414" customFormat="false" ht="15" hidden="false" customHeight="true" outlineLevel="0" collapsed="false">
      <c r="A414" s="4" t="s">
        <v>469</v>
      </c>
      <c r="B414" s="4" t="s">
        <v>470</v>
      </c>
      <c r="C414" s="5" t="n">
        <v>1.5</v>
      </c>
      <c r="D414" s="5"/>
      <c r="E414" s="4" t="s">
        <v>29</v>
      </c>
      <c r="F414" s="6" t="s">
        <v>470</v>
      </c>
      <c r="G414" s="5" t="n">
        <v>30</v>
      </c>
      <c r="H414" s="5" t="n">
        <v>0.4</v>
      </c>
      <c r="I414" s="5" t="n">
        <v>3.9</v>
      </c>
      <c r="J414" s="5" t="n">
        <v>4.3</v>
      </c>
      <c r="K414" s="5" t="n">
        <v>0</v>
      </c>
      <c r="L414" s="5" t="n">
        <v>3</v>
      </c>
      <c r="M414" s="5" t="n">
        <v>0.2</v>
      </c>
      <c r="N414" s="5" t="n">
        <v>0.1</v>
      </c>
      <c r="O414" s="5" t="n">
        <v>0</v>
      </c>
      <c r="P414" s="5" t="n">
        <v>0.1</v>
      </c>
      <c r="Q414" s="5" t="n">
        <v>0.3</v>
      </c>
      <c r="R414" s="5" t="n">
        <v>4</v>
      </c>
      <c r="S414" s="5" t="n">
        <v>0.1</v>
      </c>
      <c r="T414" s="5" t="n">
        <v>20</v>
      </c>
      <c r="U414" s="5" t="n">
        <v>0</v>
      </c>
      <c r="V414" s="5" t="n">
        <v>5</v>
      </c>
      <c r="W414" s="5" t="n">
        <v>1</v>
      </c>
      <c r="X414" s="5" t="n">
        <v>15</v>
      </c>
      <c r="Y414" s="5" t="n">
        <v>0.7</v>
      </c>
      <c r="Z414" s="5" t="n">
        <v>320</v>
      </c>
      <c r="AA414" s="7" t="n">
        <v>0.6</v>
      </c>
    </row>
    <row r="415" customFormat="false" ht="15" hidden="false" customHeight="true" outlineLevel="0" collapsed="false">
      <c r="A415" s="4" t="s">
        <v>471</v>
      </c>
      <c r="B415" s="4" t="s">
        <v>470</v>
      </c>
      <c r="C415" s="5" t="n">
        <v>1.5</v>
      </c>
      <c r="D415" s="5"/>
      <c r="E415" s="4" t="s">
        <v>29</v>
      </c>
      <c r="F415" s="6" t="s">
        <v>470</v>
      </c>
      <c r="G415" s="5" t="n">
        <v>32</v>
      </c>
      <c r="H415" s="5" t="n">
        <v>0.5</v>
      </c>
      <c r="I415" s="5" t="n">
        <v>1.5</v>
      </c>
      <c r="J415" s="5" t="n">
        <v>6.9</v>
      </c>
      <c r="K415" s="5" t="n">
        <v>0</v>
      </c>
      <c r="L415" s="5" t="n">
        <v>2.5</v>
      </c>
      <c r="M415" s="5" t="n">
        <v>2.1</v>
      </c>
      <c r="N415" s="5" t="n">
        <v>0.1</v>
      </c>
      <c r="O415" s="5" t="n">
        <v>0</v>
      </c>
      <c r="P415" s="5" t="n">
        <v>0.04</v>
      </c>
      <c r="Q415" s="5" t="n">
        <v>0.2</v>
      </c>
      <c r="R415" s="5" t="n">
        <v>5.2</v>
      </c>
      <c r="S415" s="5" t="n">
        <v>0.06</v>
      </c>
      <c r="T415" s="5" t="n">
        <v>7</v>
      </c>
      <c r="U415" s="5" t="n">
        <v>0</v>
      </c>
      <c r="V415" s="5" t="n">
        <v>15</v>
      </c>
      <c r="W415" s="5" t="n">
        <v>1</v>
      </c>
      <c r="X415" s="5" t="n">
        <v>10</v>
      </c>
      <c r="Y415" s="5" t="n">
        <v>0.7</v>
      </c>
      <c r="Z415" s="5" t="n">
        <v>506</v>
      </c>
      <c r="AA415" s="7" t="n">
        <v>1</v>
      </c>
    </row>
    <row r="416" customFormat="false" ht="15" hidden="false" customHeight="true" outlineLevel="0" collapsed="false">
      <c r="A416" s="4" t="s">
        <v>472</v>
      </c>
      <c r="B416" s="4" t="s">
        <v>470</v>
      </c>
      <c r="C416" s="5" t="n">
        <v>1.3</v>
      </c>
      <c r="D416" s="5"/>
      <c r="E416" s="4" t="s">
        <v>29</v>
      </c>
      <c r="F416" s="6" t="s">
        <v>470</v>
      </c>
      <c r="G416" s="5" t="n">
        <v>33</v>
      </c>
      <c r="H416" s="5" t="n">
        <v>0.4</v>
      </c>
      <c r="I416" s="5" t="n">
        <v>3.3</v>
      </c>
      <c r="J416" s="5" t="n">
        <v>6.1</v>
      </c>
      <c r="K416" s="5" t="n">
        <v>0</v>
      </c>
      <c r="L416" s="5" t="n">
        <v>0</v>
      </c>
      <c r="M416" s="5" t="n">
        <v>0.1</v>
      </c>
      <c r="N416" s="5" t="n">
        <v>0.01</v>
      </c>
      <c r="O416" s="5" t="n">
        <v>0</v>
      </c>
      <c r="P416" s="5" t="n">
        <v>0.15</v>
      </c>
      <c r="Q416" s="5" t="n">
        <v>0.35</v>
      </c>
      <c r="R416" s="5" t="n">
        <v>5</v>
      </c>
      <c r="S416" s="5" t="n">
        <v>0.11</v>
      </c>
      <c r="T416" s="5" t="n">
        <v>38</v>
      </c>
      <c r="U416" s="5" t="n">
        <v>0</v>
      </c>
      <c r="V416" s="5" t="n">
        <v>3</v>
      </c>
      <c r="W416" s="5" t="n">
        <v>1.3</v>
      </c>
      <c r="X416" s="5" t="n">
        <v>18</v>
      </c>
      <c r="Y416" s="5" t="n">
        <v>0.8</v>
      </c>
      <c r="Z416" s="5" t="n">
        <v>420</v>
      </c>
      <c r="AA416" s="7" t="n">
        <v>0.9</v>
      </c>
    </row>
    <row r="417" customFormat="false" ht="15" hidden="false" customHeight="true" outlineLevel="0" collapsed="false">
      <c r="A417" s="4" t="s">
        <v>473</v>
      </c>
      <c r="B417" s="4" t="s">
        <v>470</v>
      </c>
      <c r="C417" s="5" t="n">
        <v>1.5</v>
      </c>
      <c r="D417" s="5"/>
      <c r="E417" s="4" t="s">
        <v>29</v>
      </c>
      <c r="F417" s="6" t="s">
        <v>470</v>
      </c>
      <c r="G417" s="5" t="n">
        <v>34</v>
      </c>
      <c r="H417" s="5" t="n">
        <v>0.5</v>
      </c>
      <c r="I417" s="5" t="n">
        <v>2.2</v>
      </c>
      <c r="J417" s="5" t="n">
        <v>6.8</v>
      </c>
      <c r="K417" s="5" t="n">
        <v>0</v>
      </c>
      <c r="L417" s="5" t="n">
        <v>0</v>
      </c>
      <c r="M417" s="5" t="n">
        <v>0.4</v>
      </c>
      <c r="N417" s="5" t="n">
        <v>0.02</v>
      </c>
      <c r="O417" s="5" t="n">
        <v>0</v>
      </c>
      <c r="P417" s="5" t="n">
        <v>0.06</v>
      </c>
      <c r="Q417" s="5" t="n">
        <v>0.22</v>
      </c>
      <c r="R417" s="5" t="n">
        <v>3.9</v>
      </c>
      <c r="S417" s="5" t="n">
        <v>0.29</v>
      </c>
      <c r="T417" s="5" t="n">
        <v>20</v>
      </c>
      <c r="U417" s="5" t="n">
        <v>0</v>
      </c>
      <c r="V417" s="5" t="n">
        <v>2</v>
      </c>
      <c r="W417" s="5" t="n">
        <v>0.4</v>
      </c>
      <c r="X417" s="5" t="n">
        <v>20</v>
      </c>
      <c r="Y417" s="5" t="n">
        <v>1</v>
      </c>
      <c r="Z417" s="5" t="n">
        <v>304</v>
      </c>
      <c r="AA417" s="7" t="n">
        <v>1</v>
      </c>
    </row>
    <row r="418" customFormat="false" ht="15" hidden="false" customHeight="true" outlineLevel="0" collapsed="false">
      <c r="A418" s="4" t="s">
        <v>474</v>
      </c>
      <c r="B418" s="4" t="s">
        <v>470</v>
      </c>
      <c r="C418" s="5" t="n">
        <v>1.4</v>
      </c>
      <c r="D418" s="5"/>
      <c r="E418" s="4" t="s">
        <v>29</v>
      </c>
      <c r="F418" s="6" t="s">
        <v>470</v>
      </c>
      <c r="G418" s="5" t="n">
        <v>35</v>
      </c>
      <c r="H418" s="5" t="n">
        <v>0.4</v>
      </c>
      <c r="I418" s="5" t="n">
        <v>3</v>
      </c>
      <c r="J418" s="5" t="n">
        <v>5</v>
      </c>
      <c r="K418" s="5" t="n">
        <v>0</v>
      </c>
      <c r="L418" s="5" t="n">
        <v>0</v>
      </c>
      <c r="M418" s="5" t="n">
        <v>0.1</v>
      </c>
      <c r="N418" s="5" t="n">
        <v>0.01</v>
      </c>
      <c r="O418" s="5" t="n">
        <v>0</v>
      </c>
      <c r="P418" s="5" t="n">
        <v>0.1</v>
      </c>
      <c r="Q418" s="5" t="n">
        <v>0.25</v>
      </c>
      <c r="R418" s="5" t="n">
        <v>4.5</v>
      </c>
      <c r="S418" s="5" t="n">
        <v>0.1</v>
      </c>
      <c r="T418" s="5" t="n">
        <v>20</v>
      </c>
      <c r="U418" s="5" t="n">
        <v>0</v>
      </c>
      <c r="V418" s="5" t="n">
        <v>3</v>
      </c>
      <c r="W418" s="5" t="n">
        <v>1</v>
      </c>
      <c r="X418" s="5" t="n">
        <v>15</v>
      </c>
      <c r="Y418" s="5" t="n">
        <v>0.7</v>
      </c>
      <c r="Z418" s="5" t="n">
        <v>350</v>
      </c>
      <c r="AA418" s="7" t="n">
        <v>0.8</v>
      </c>
    </row>
    <row r="419" customFormat="false" ht="15" hidden="false" customHeight="true" outlineLevel="0" collapsed="false">
      <c r="A419" s="4" t="s">
        <v>475</v>
      </c>
      <c r="B419" s="4" t="s">
        <v>470</v>
      </c>
      <c r="C419" s="5" t="n">
        <v>1.3</v>
      </c>
      <c r="D419" s="5"/>
      <c r="E419" s="4" t="s">
        <v>29</v>
      </c>
      <c r="F419" s="6" t="s">
        <v>470</v>
      </c>
      <c r="G419" s="5" t="n">
        <v>22</v>
      </c>
      <c r="H419" s="5" t="n">
        <v>0.4</v>
      </c>
      <c r="I419" s="5" t="n">
        <v>2.5</v>
      </c>
      <c r="J419" s="5" t="n">
        <v>3.9</v>
      </c>
      <c r="K419" s="5" t="n">
        <v>0</v>
      </c>
      <c r="L419" s="5" t="n">
        <v>0</v>
      </c>
      <c r="M419" s="5" t="n">
        <v>0.2</v>
      </c>
      <c r="N419" s="5" t="n">
        <v>0.01</v>
      </c>
      <c r="O419" s="5" t="n">
        <v>0</v>
      </c>
      <c r="P419" s="5" t="n">
        <v>0.06</v>
      </c>
      <c r="Q419" s="5" t="n">
        <v>0.24</v>
      </c>
      <c r="R419" s="5" t="n">
        <v>3.8</v>
      </c>
      <c r="S419" s="5" t="n">
        <v>0.1</v>
      </c>
      <c r="T419" s="5" t="n">
        <v>17</v>
      </c>
      <c r="U419" s="5" t="n">
        <v>0</v>
      </c>
      <c r="V419" s="5" t="n">
        <v>3</v>
      </c>
      <c r="W419" s="5" t="n">
        <v>0.4</v>
      </c>
      <c r="X419" s="5" t="n">
        <v>9</v>
      </c>
      <c r="Y419" s="5" t="n">
        <v>0.5</v>
      </c>
      <c r="Z419" s="5" t="n">
        <v>318</v>
      </c>
      <c r="AA419" s="7" t="n">
        <v>0.6</v>
      </c>
    </row>
    <row r="420" customFormat="false" ht="15" hidden="false" customHeight="true" outlineLevel="0" collapsed="false">
      <c r="A420" s="4" t="s">
        <v>476</v>
      </c>
      <c r="B420" s="4" t="s">
        <v>470</v>
      </c>
      <c r="C420" s="5" t="n">
        <v>25</v>
      </c>
      <c r="D420" s="5"/>
      <c r="E420" s="4" t="s">
        <v>29</v>
      </c>
      <c r="F420" s="6" t="s">
        <v>470</v>
      </c>
      <c r="G420" s="5" t="n">
        <v>31</v>
      </c>
      <c r="H420" s="5" t="n">
        <v>0.5</v>
      </c>
      <c r="I420" s="5" t="n">
        <v>6</v>
      </c>
      <c r="J420" s="5" t="n">
        <v>1.6</v>
      </c>
      <c r="K420" s="5" t="n">
        <v>0</v>
      </c>
      <c r="L420" s="5" t="n">
        <v>4</v>
      </c>
      <c r="M420" s="5" t="n">
        <v>0</v>
      </c>
      <c r="N420" s="5" t="n">
        <v>0.1</v>
      </c>
      <c r="O420" s="5" t="n">
        <v>0</v>
      </c>
      <c r="P420" s="5" t="n">
        <v>0.1</v>
      </c>
      <c r="Q420" s="5" t="n">
        <v>0.3</v>
      </c>
      <c r="R420" s="5" t="n">
        <v>2.5</v>
      </c>
      <c r="S420" s="5" t="n">
        <v>0.1</v>
      </c>
      <c r="T420" s="5" t="n">
        <v>20</v>
      </c>
      <c r="U420" s="5" t="n">
        <v>0</v>
      </c>
      <c r="V420" s="5" t="n">
        <v>20</v>
      </c>
      <c r="W420" s="5" t="n">
        <v>2</v>
      </c>
      <c r="X420" s="5" t="n">
        <v>30</v>
      </c>
      <c r="Y420" s="5" t="n">
        <v>1</v>
      </c>
      <c r="Z420" s="5" t="n">
        <v>300</v>
      </c>
      <c r="AA420" s="7" t="n">
        <v>0.2</v>
      </c>
    </row>
    <row r="421" customFormat="false" ht="15" hidden="false" customHeight="true" outlineLevel="0" collapsed="false">
      <c r="A421" s="4" t="s">
        <v>477</v>
      </c>
      <c r="B421" s="4" t="s">
        <v>470</v>
      </c>
      <c r="C421" s="5" t="n">
        <v>3.5</v>
      </c>
      <c r="D421" s="5"/>
      <c r="E421" s="4" t="s">
        <v>29</v>
      </c>
      <c r="F421" s="6" t="s">
        <v>470</v>
      </c>
      <c r="G421" s="5" t="n">
        <v>284</v>
      </c>
      <c r="H421" s="5" t="n">
        <v>3</v>
      </c>
      <c r="I421" s="5" t="n">
        <v>30</v>
      </c>
      <c r="J421" s="5" t="n">
        <v>52</v>
      </c>
      <c r="K421" s="5" t="n">
        <v>0</v>
      </c>
      <c r="L421" s="5" t="n">
        <v>0</v>
      </c>
      <c r="M421" s="5" t="n">
        <v>3</v>
      </c>
      <c r="N421" s="5" t="n">
        <v>0.1</v>
      </c>
      <c r="O421" s="5" t="n">
        <v>0</v>
      </c>
      <c r="P421" s="5" t="n">
        <v>0.3</v>
      </c>
      <c r="Q421" s="5" t="n">
        <v>1.5</v>
      </c>
      <c r="R421" s="5" t="n">
        <v>30</v>
      </c>
      <c r="S421" s="5" t="n">
        <v>0.5</v>
      </c>
      <c r="T421" s="5" t="n">
        <v>50</v>
      </c>
      <c r="U421" s="5" t="n">
        <v>0</v>
      </c>
      <c r="V421" s="5" t="n">
        <v>20</v>
      </c>
      <c r="W421" s="5" t="n">
        <v>10</v>
      </c>
      <c r="X421" s="5" t="n">
        <v>80</v>
      </c>
      <c r="Y421" s="5" t="n">
        <v>5</v>
      </c>
      <c r="Z421" s="5" t="n">
        <v>2000</v>
      </c>
      <c r="AA421" s="7" t="n">
        <v>36.4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2" min="2" style="1" width="15"/>
  </cols>
  <sheetData>
    <row r="1" customFormat="false" ht="45.75" hidden="false" customHeight="true" outlineLevel="0" collapsed="false">
      <c r="A1" s="2" t="s">
        <v>0</v>
      </c>
      <c r="B1" s="2" t="s">
        <v>478</v>
      </c>
      <c r="C1" s="2" t="s">
        <v>479</v>
      </c>
      <c r="D1" s="2" t="s">
        <v>480</v>
      </c>
      <c r="E1" s="2" t="s">
        <v>481</v>
      </c>
      <c r="F1" s="2" t="s">
        <v>482</v>
      </c>
      <c r="G1" s="2" t="s">
        <v>483</v>
      </c>
      <c r="H1" s="2" t="s">
        <v>484</v>
      </c>
      <c r="I1" s="2" t="s">
        <v>485</v>
      </c>
      <c r="J1" s="2" t="s">
        <v>486</v>
      </c>
      <c r="K1" s="2" t="s">
        <v>487</v>
      </c>
      <c r="L1" s="2" t="s">
        <v>488</v>
      </c>
      <c r="M1" s="2" t="s">
        <v>489</v>
      </c>
      <c r="N1" s="2" t="s">
        <v>490</v>
      </c>
      <c r="O1" s="2" t="s">
        <v>491</v>
      </c>
      <c r="P1" s="2" t="s">
        <v>492</v>
      </c>
      <c r="Q1" s="2" t="s">
        <v>493</v>
      </c>
      <c r="R1" s="2" t="s">
        <v>494</v>
      </c>
      <c r="S1" s="2" t="s">
        <v>495</v>
      </c>
      <c r="T1" s="2" t="s">
        <v>496</v>
      </c>
      <c r="U1" s="2" t="s">
        <v>497</v>
      </c>
      <c r="V1" s="2" t="s">
        <v>498</v>
      </c>
    </row>
    <row r="2" customFormat="false" ht="15" hidden="false" customHeight="true" outlineLevel="0" collapsed="false">
      <c r="A2" s="4" t="str">
        <f aca="false">Rohdaten!A2</f>
        <v>Aubergine</v>
      </c>
      <c r="B2" s="8" t="n">
        <f aca="false">Rohdaten!C2</f>
        <v>0.2</v>
      </c>
      <c r="C2" s="8" t="n">
        <f aca="false">IFERROR(Rohdaten!C2*100/Rohdaten!G2,"–")</f>
        <v>0.8</v>
      </c>
      <c r="D2" s="8" t="n">
        <f aca="false">IFERROR(Rohdaten!C2*100/(Rohdaten!H2*9),"–")</f>
        <v>11.1111111111111</v>
      </c>
      <c r="E2" s="8" t="n">
        <f aca="false">IFERROR(Rohdaten!C2*100/(Rohdaten!I2*4),"–")</f>
        <v>5</v>
      </c>
      <c r="F2" s="8" t="n">
        <f aca="false">IFERROR(Rohdaten!C2*100/(Rohdaten!J2*4),"–")</f>
        <v>0.833333333333333</v>
      </c>
      <c r="G2" s="9" t="n">
        <f aca="false">IFERROR(Rohdaten!C2*100/Rohdaten!K2,"–")</f>
        <v>20</v>
      </c>
      <c r="H2" s="8" t="n">
        <f aca="false">IFERROR(Rohdaten!C2*100/Rohdaten!L2,"–")</f>
        <v>9.09090909090909</v>
      </c>
      <c r="I2" s="9" t="str">
        <f aca="false">IFERROR(Rohdaten!C2*100/Rohdaten!M2,"–")</f>
        <v>–</v>
      </c>
      <c r="J2" s="8" t="n">
        <f aca="false">IFERROR(Rohdaten!C2*100/Rohdaten!N2,"–")</f>
        <v>66.6666666666667</v>
      </c>
      <c r="K2" s="9" t="n">
        <f aca="false">IFERROR(Rohdaten!C2*100/Rohdaten!O2,"–")</f>
        <v>5.71428571428571</v>
      </c>
      <c r="L2" s="8" t="n">
        <f aca="false">IFERROR(Rohdaten!C2*100/Rohdaten!P2,"–")</f>
        <v>500</v>
      </c>
      <c r="M2" s="8" t="n">
        <f aca="false">IFERROR(Rohdaten!C2*100/Rohdaten!Q2,"–")</f>
        <v>500</v>
      </c>
      <c r="N2" s="8" t="n">
        <f aca="false">IFERROR(Rohdaten!C2*100/Rohdaten!R2,"–")</f>
        <v>33.3333333333333</v>
      </c>
      <c r="O2" s="8" t="n">
        <f aca="false">IFERROR(Rohdaten!C2*100/Rohdaten!S2,"–")</f>
        <v>250</v>
      </c>
      <c r="P2" s="9" t="n">
        <f aca="false">IFERROR(Rohdaten!C2*100/Rohdaten!T2,"–")</f>
        <v>0.909090909090909</v>
      </c>
      <c r="Q2" s="9" t="str">
        <f aca="false">IFERROR(Rohdaten!C2*100/Rohdaten!U2,"–")</f>
        <v>–</v>
      </c>
      <c r="R2" s="8" t="n">
        <f aca="false">IFERROR(Rohdaten!C2*100/Rohdaten!V2,"–")</f>
        <v>2.22222222222222</v>
      </c>
      <c r="S2" s="8" t="n">
        <f aca="false">IFERROR(Rohdaten!C2*100/Rohdaten!W2,"–")</f>
        <v>100</v>
      </c>
      <c r="T2" s="8" t="n">
        <f aca="false">IFERROR(Rohdaten!C2*100/Rohdaten!X2,"–")</f>
        <v>1.42857142857143</v>
      </c>
      <c r="U2" s="8" t="n">
        <f aca="false">IFERROR(Rohdaten!C2*100/Rohdaten!Y2,"–")</f>
        <v>100</v>
      </c>
      <c r="V2" s="8" t="n">
        <f aca="false">IFERROR(Rohdaten!C2*100/Rohdaten!Z2,"–")</f>
        <v>0.0869565217391304</v>
      </c>
    </row>
    <row r="3" customFormat="false" ht="15" hidden="false" customHeight="true" outlineLevel="0" collapsed="false">
      <c r="A3" s="4" t="str">
        <f aca="false">Rohdaten!A3</f>
        <v>Blumenkohl</v>
      </c>
      <c r="B3" s="8" t="n">
        <f aca="false">Rohdaten!C3</f>
        <v>0.2</v>
      </c>
      <c r="C3" s="8" t="n">
        <f aca="false">IFERROR(Rohdaten!C3*100/Rohdaten!G3,"–")</f>
        <v>0.8</v>
      </c>
      <c r="D3" s="8" t="n">
        <f aca="false">IFERROR(Rohdaten!C3*100/(Rohdaten!H3*9),"–")</f>
        <v>7.40740740740741</v>
      </c>
      <c r="E3" s="8" t="n">
        <f aca="false">IFERROR(Rohdaten!C3*100/(Rohdaten!I3*4),"–")</f>
        <v>2.63157894736842</v>
      </c>
      <c r="F3" s="8" t="n">
        <f aca="false">IFERROR(Rohdaten!C3*100/(Rohdaten!J3*4),"–")</f>
        <v>1</v>
      </c>
      <c r="G3" s="9" t="str">
        <f aca="false">IFERROR(Rohdaten!C3*100/Rohdaten!K3,"–")</f>
        <v>–</v>
      </c>
      <c r="H3" s="8" t="n">
        <f aca="false">IFERROR(Rohdaten!C3*100/Rohdaten!L3,"–")</f>
        <v>0.416666666666667</v>
      </c>
      <c r="I3" s="9" t="str">
        <f aca="false">IFERROR(Rohdaten!C3*100/Rohdaten!M3,"–")</f>
        <v>–</v>
      </c>
      <c r="J3" s="8" t="n">
        <f aca="false">IFERROR(Rohdaten!C3*100/Rohdaten!N3,"–")</f>
        <v>200</v>
      </c>
      <c r="K3" s="9" t="n">
        <f aca="false">IFERROR(Rohdaten!C3*100/Rohdaten!O3,"–")</f>
        <v>1.25</v>
      </c>
      <c r="L3" s="8" t="n">
        <f aca="false">IFERROR(Rohdaten!C3*100/Rohdaten!P3,"–")</f>
        <v>400</v>
      </c>
      <c r="M3" s="8" t="n">
        <f aca="false">IFERROR(Rohdaten!C3*100/Rohdaten!Q3,"–")</f>
        <v>333.333333333333</v>
      </c>
      <c r="N3" s="8" t="n">
        <f aca="false">IFERROR(Rohdaten!C3*100/Rohdaten!R3,"–")</f>
        <v>40</v>
      </c>
      <c r="O3" s="8" t="n">
        <f aca="false">IFERROR(Rohdaten!C3*100/Rohdaten!S3,"–")</f>
        <v>111.111111111111</v>
      </c>
      <c r="P3" s="9" t="n">
        <f aca="false">IFERROR(Rohdaten!C3*100/Rohdaten!T3,"–")</f>
        <v>0.350877192982456</v>
      </c>
      <c r="Q3" s="9" t="str">
        <f aca="false">IFERROR(Rohdaten!C3*100/Rohdaten!U3,"–")</f>
        <v>–</v>
      </c>
      <c r="R3" s="8" t="n">
        <f aca="false">IFERROR(Rohdaten!C3*100/Rohdaten!V3,"–")</f>
        <v>0.909090909090909</v>
      </c>
      <c r="S3" s="8" t="n">
        <f aca="false">IFERROR(Rohdaten!C3*100/Rohdaten!W3,"–")</f>
        <v>50</v>
      </c>
      <c r="T3" s="8" t="n">
        <f aca="false">IFERROR(Rohdaten!C3*100/Rohdaten!X3,"–")</f>
        <v>1.33333333333333</v>
      </c>
      <c r="U3" s="8" t="n">
        <f aca="false">IFERROR(Rohdaten!C3*100/Rohdaten!Y3,"–")</f>
        <v>66.6666666666667</v>
      </c>
      <c r="V3" s="8" t="n">
        <f aca="false">IFERROR(Rohdaten!C3*100/Rohdaten!Z3,"–")</f>
        <v>0.0666666666666667</v>
      </c>
    </row>
    <row r="4" customFormat="false" ht="15" hidden="false" customHeight="true" outlineLevel="0" collapsed="false">
      <c r="A4" s="4" t="str">
        <f aca="false">Rohdaten!A4</f>
        <v>Bohnen, grün, frisch</v>
      </c>
      <c r="B4" s="8" t="n">
        <f aca="false">Rohdaten!C4</f>
        <v>0.8</v>
      </c>
      <c r="C4" s="8" t="n">
        <f aca="false">IFERROR(Rohdaten!C4*100/Rohdaten!G4,"–")</f>
        <v>2.58064516129032</v>
      </c>
      <c r="D4" s="8" t="n">
        <f aca="false">IFERROR(Rohdaten!C4*100/(Rohdaten!H4*9),"–")</f>
        <v>44.4444444444444</v>
      </c>
      <c r="E4" s="8" t="n">
        <f aca="false">IFERROR(Rohdaten!C4*100/(Rohdaten!I4*4),"–")</f>
        <v>11.1111111111111</v>
      </c>
      <c r="F4" s="8" t="n">
        <f aca="false">IFERROR(Rohdaten!C4*100/(Rohdaten!J4*4),"–")</f>
        <v>2.85714285714286</v>
      </c>
      <c r="G4" s="9" t="n">
        <f aca="false">IFERROR(Rohdaten!C4*100/Rohdaten!K4,"–")</f>
        <v>2.28571428571429</v>
      </c>
      <c r="H4" s="8" t="n">
        <f aca="false">IFERROR(Rohdaten!C4*100/Rohdaten!L4,"–")</f>
        <v>6.66666666666667</v>
      </c>
      <c r="I4" s="9" t="str">
        <f aca="false">IFERROR(Rohdaten!C4*100/Rohdaten!M4,"–")</f>
        <v>–</v>
      </c>
      <c r="J4" s="8" t="n">
        <f aca="false">IFERROR(Rohdaten!C4*100/Rohdaten!N4,"–")</f>
        <v>200</v>
      </c>
      <c r="K4" s="9" t="n">
        <f aca="false">IFERROR(Rohdaten!C4*100/Rohdaten!O4,"–")</f>
        <v>1.86046511627907</v>
      </c>
      <c r="L4" s="8" t="n">
        <f aca="false">IFERROR(Rohdaten!C4*100/Rohdaten!P4,"–")</f>
        <v>1000</v>
      </c>
      <c r="M4" s="8" t="n">
        <f aca="false">IFERROR(Rohdaten!C4*100/Rohdaten!Q4,"–")</f>
        <v>800</v>
      </c>
      <c r="N4" s="8" t="n">
        <f aca="false">IFERROR(Rohdaten!C4*100/Rohdaten!R4,"–")</f>
        <v>114.285714285714</v>
      </c>
      <c r="O4" s="8" t="n">
        <f aca="false">IFERROR(Rohdaten!C4*100/Rohdaten!S4,"–")</f>
        <v>1142.85714285714</v>
      </c>
      <c r="P4" s="9" t="n">
        <f aca="false">IFERROR(Rohdaten!C4*100/Rohdaten!T4,"–")</f>
        <v>2.42424242424242</v>
      </c>
      <c r="Q4" s="9" t="str">
        <f aca="false">IFERROR(Rohdaten!C4*100/Rohdaten!U4,"–")</f>
        <v>–</v>
      </c>
      <c r="R4" s="8" t="n">
        <f aca="false">IFERROR(Rohdaten!C4*100/Rohdaten!V4,"–")</f>
        <v>2.16216216216216</v>
      </c>
      <c r="S4" s="8" t="n">
        <f aca="false">IFERROR(Rohdaten!C4*100/Rohdaten!W4,"–")</f>
        <v>80</v>
      </c>
      <c r="T4" s="8" t="n">
        <f aca="false">IFERROR(Rohdaten!C4*100/Rohdaten!X4,"–")</f>
        <v>3.2</v>
      </c>
      <c r="U4" s="8" t="n">
        <f aca="false">IFERROR(Rohdaten!C4*100/Rohdaten!Y4,"–")</f>
        <v>400</v>
      </c>
      <c r="V4" s="8" t="n">
        <f aca="false">IFERROR(Rohdaten!C4*100/Rohdaten!Z4,"–")</f>
        <v>0.380952380952381</v>
      </c>
    </row>
    <row r="5" customFormat="false" ht="15" hidden="false" customHeight="true" outlineLevel="0" collapsed="false">
      <c r="A5" s="4" t="str">
        <f aca="false">Rohdaten!A5</f>
        <v>Bohnen, weiß, Dose</v>
      </c>
      <c r="B5" s="8" t="n">
        <f aca="false">Rohdaten!C5</f>
        <v>1.3</v>
      </c>
      <c r="C5" s="8" t="n">
        <f aca="false">IFERROR(Rohdaten!C5*100/Rohdaten!G5,"–")</f>
        <v>1.44444444444444</v>
      </c>
      <c r="D5" s="8" t="n">
        <f aca="false">IFERROR(Rohdaten!C5*100/(Rohdaten!H5*9),"–")</f>
        <v>28.8888888888889</v>
      </c>
      <c r="E5" s="8" t="n">
        <f aca="false">IFERROR(Rohdaten!C5*100/(Rohdaten!I5*4),"–")</f>
        <v>5.41666666666667</v>
      </c>
      <c r="F5" s="8" t="n">
        <f aca="false">IFERROR(Rohdaten!C5*100/(Rohdaten!J5*4),"–")</f>
        <v>2.16666666666667</v>
      </c>
      <c r="G5" s="9" t="str">
        <f aca="false">IFERROR(Rohdaten!C5*100/Rohdaten!K5,"–")</f>
        <v>–</v>
      </c>
      <c r="H5" s="8" t="n">
        <f aca="false">IFERROR(Rohdaten!C5*100/Rohdaten!L5,"–")</f>
        <v>130</v>
      </c>
      <c r="I5" s="9" t="str">
        <f aca="false">IFERROR(Rohdaten!C5*100/Rohdaten!M5,"–")</f>
        <v>–</v>
      </c>
      <c r="J5" s="8" t="n">
        <f aca="false">IFERROR(Rohdaten!C5*100/Rohdaten!N5,"–")</f>
        <v>1300</v>
      </c>
      <c r="K5" s="9" t="n">
        <f aca="false">IFERROR(Rohdaten!C5*100/Rohdaten!O5,"–")</f>
        <v>43.3333333333333</v>
      </c>
      <c r="L5" s="8" t="n">
        <f aca="false">IFERROR(Rohdaten!C5*100/Rohdaten!P5,"–")</f>
        <v>2600</v>
      </c>
      <c r="M5" s="8" t="n">
        <f aca="false">IFERROR(Rohdaten!C5*100/Rohdaten!Q5,"–")</f>
        <v>2600</v>
      </c>
      <c r="N5" s="8" t="n">
        <f aca="false">IFERROR(Rohdaten!C5*100/Rohdaten!R5,"–")</f>
        <v>325</v>
      </c>
      <c r="O5" s="8" t="n">
        <f aca="false">IFERROR(Rohdaten!C5*100/Rohdaten!S5,"–")</f>
        <v>1625</v>
      </c>
      <c r="P5" s="9" t="n">
        <f aca="false">IFERROR(Rohdaten!C5*100/Rohdaten!T5,"–")</f>
        <v>6.5</v>
      </c>
      <c r="Q5" s="9" t="str">
        <f aca="false">IFERROR(Rohdaten!C5*100/Rohdaten!U5,"–")</f>
        <v>–</v>
      </c>
      <c r="R5" s="8" t="n">
        <f aca="false">IFERROR(Rohdaten!C5*100/Rohdaten!V5,"–")</f>
        <v>2.16666666666667</v>
      </c>
      <c r="S5" s="8" t="n">
        <f aca="false">IFERROR(Rohdaten!C5*100/Rohdaten!W5,"–")</f>
        <v>65</v>
      </c>
      <c r="T5" s="8" t="n">
        <f aca="false">IFERROR(Rohdaten!C5*100/Rohdaten!X5,"–")</f>
        <v>3.71428571428571</v>
      </c>
      <c r="U5" s="8" t="n">
        <f aca="false">IFERROR(Rohdaten!C5*100/Rohdaten!Y5,"–")</f>
        <v>162.5</v>
      </c>
      <c r="V5" s="8" t="n">
        <f aca="false">IFERROR(Rohdaten!C5*100/Rohdaten!Z5,"–")</f>
        <v>0.433333333333333</v>
      </c>
    </row>
    <row r="6" customFormat="false" ht="15" hidden="false" customHeight="true" outlineLevel="0" collapsed="false">
      <c r="A6" s="4" t="str">
        <f aca="false">Rohdaten!A6</f>
        <v>Brokkoli, frisch</v>
      </c>
      <c r="B6" s="8" t="n">
        <f aca="false">Rohdaten!C6</f>
        <v>0.3</v>
      </c>
      <c r="C6" s="8" t="n">
        <f aca="false">IFERROR(Rohdaten!C6*100/Rohdaten!G6,"–")</f>
        <v>0.882352941176471</v>
      </c>
      <c r="D6" s="8" t="n">
        <f aca="false">IFERROR(Rohdaten!C6*100/(Rohdaten!H6*9),"–")</f>
        <v>8.33333333333333</v>
      </c>
      <c r="E6" s="8" t="n">
        <f aca="false">IFERROR(Rohdaten!C6*100/(Rohdaten!I6*4),"–")</f>
        <v>2.67857142857143</v>
      </c>
      <c r="F6" s="8" t="n">
        <f aca="false">IFERROR(Rohdaten!C6*100/(Rohdaten!J6*4),"–")</f>
        <v>1.07142857142857</v>
      </c>
      <c r="G6" s="9" t="n">
        <f aca="false">IFERROR(Rohdaten!C6*100/Rohdaten!K6,"–")</f>
        <v>0.967741935483871</v>
      </c>
      <c r="H6" s="8" t="n">
        <f aca="false">IFERROR(Rohdaten!C6*100/Rohdaten!L6,"–")</f>
        <v>0.337078651685393</v>
      </c>
      <c r="I6" s="9" t="str">
        <f aca="false">IFERROR(Rohdaten!C6*100/Rohdaten!M6,"–")</f>
        <v>–</v>
      </c>
      <c r="J6" s="8" t="n">
        <f aca="false">IFERROR(Rohdaten!C6*100/Rohdaten!N6,"–")</f>
        <v>37.5</v>
      </c>
      <c r="K6" s="9" t="n">
        <f aca="false">IFERROR(Rohdaten!C6*100/Rohdaten!O6,"–")</f>
        <v>0.294117647058824</v>
      </c>
      <c r="L6" s="8" t="n">
        <f aca="false">IFERROR(Rohdaten!C6*100/Rohdaten!P6,"–")</f>
        <v>428.571428571429</v>
      </c>
      <c r="M6" s="8" t="n">
        <f aca="false">IFERROR(Rohdaten!C6*100/Rohdaten!Q6,"–")</f>
        <v>250</v>
      </c>
      <c r="N6" s="8" t="n">
        <f aca="false">IFERROR(Rohdaten!C6*100/Rohdaten!R6,"–")</f>
        <v>50</v>
      </c>
      <c r="O6" s="8" t="n">
        <f aca="false">IFERROR(Rohdaten!C6*100/Rohdaten!S6,"–")</f>
        <v>150</v>
      </c>
      <c r="P6" s="9" t="n">
        <f aca="false">IFERROR(Rohdaten!C6*100/Rohdaten!T6,"–")</f>
        <v>0.476190476190476</v>
      </c>
      <c r="Q6" s="9" t="str">
        <f aca="false">IFERROR(Rohdaten!C6*100/Rohdaten!U6,"–")</f>
        <v>–</v>
      </c>
      <c r="R6" s="8" t="n">
        <f aca="false">IFERROR(Rohdaten!C6*100/Rohdaten!V6,"–")</f>
        <v>0.638297872340426</v>
      </c>
      <c r="S6" s="8" t="n">
        <f aca="false">IFERROR(Rohdaten!C6*100/Rohdaten!W6,"–")</f>
        <v>42.8571428571429</v>
      </c>
      <c r="T6" s="8" t="n">
        <f aca="false">IFERROR(Rohdaten!C6*100/Rohdaten!X6,"–")</f>
        <v>1.42857142857143</v>
      </c>
      <c r="U6" s="8" t="n">
        <f aca="false">IFERROR(Rohdaten!C6*100/Rohdaten!Y6,"–")</f>
        <v>75</v>
      </c>
      <c r="V6" s="8" t="n">
        <f aca="false">IFERROR(Rohdaten!C6*100/Rohdaten!Z6,"–")</f>
        <v>0.0949367088607595</v>
      </c>
    </row>
    <row r="7" customFormat="false" ht="15" hidden="false" customHeight="true" outlineLevel="0" collapsed="false">
      <c r="A7" s="4" t="str">
        <f aca="false">Rohdaten!A7</f>
        <v>Brokkoli, gefroren</v>
      </c>
      <c r="B7" s="8" t="n">
        <f aca="false">Rohdaten!C7</f>
        <v>0.7</v>
      </c>
      <c r="C7" s="8" t="n">
        <f aca="false">IFERROR(Rohdaten!C7*100/Rohdaten!G7,"–")</f>
        <v>2.5</v>
      </c>
      <c r="D7" s="8" t="n">
        <f aca="false">IFERROR(Rohdaten!C7*100/(Rohdaten!H7*9),"–")</f>
        <v>25.9259259259259</v>
      </c>
      <c r="E7" s="8" t="n">
        <f aca="false">IFERROR(Rohdaten!C7*100/(Rohdaten!I7*4),"–")</f>
        <v>7</v>
      </c>
      <c r="F7" s="8" t="n">
        <f aca="false">IFERROR(Rohdaten!C7*100/(Rohdaten!J7*4),"–")</f>
        <v>3.5</v>
      </c>
      <c r="G7" s="9" t="n">
        <f aca="false">IFERROR(Rohdaten!C7*100/Rohdaten!K7,"–")</f>
        <v>2.8</v>
      </c>
      <c r="H7" s="8" t="n">
        <f aca="false">IFERROR(Rohdaten!C7*100/Rohdaten!L7,"–")</f>
        <v>1.55555555555556</v>
      </c>
      <c r="I7" s="9" t="str">
        <f aca="false">IFERROR(Rohdaten!C7*100/Rohdaten!M7,"–")</f>
        <v>–</v>
      </c>
      <c r="J7" s="8" t="n">
        <f aca="false">IFERROR(Rohdaten!C7*100/Rohdaten!N7,"–")</f>
        <v>116.666666666667</v>
      </c>
      <c r="K7" s="9" t="n">
        <f aca="false">IFERROR(Rohdaten!C7*100/Rohdaten!O7,"–")</f>
        <v>0.777777777777778</v>
      </c>
      <c r="L7" s="8" t="n">
        <f aca="false">IFERROR(Rohdaten!C7*100/Rohdaten!P7,"–")</f>
        <v>1400</v>
      </c>
      <c r="M7" s="8" t="n">
        <f aca="false">IFERROR(Rohdaten!C7*100/Rohdaten!Q7,"–")</f>
        <v>777.777777777778</v>
      </c>
      <c r="N7" s="8" t="n">
        <f aca="false">IFERROR(Rohdaten!C7*100/Rohdaten!R7,"–")</f>
        <v>140</v>
      </c>
      <c r="O7" s="8" t="n">
        <f aca="false">IFERROR(Rohdaten!C7*100/Rohdaten!S7,"–")</f>
        <v>466.666666666667</v>
      </c>
      <c r="P7" s="9" t="n">
        <f aca="false">IFERROR(Rohdaten!C7*100/Rohdaten!T7,"–")</f>
        <v>1.4</v>
      </c>
      <c r="Q7" s="9" t="str">
        <f aca="false">IFERROR(Rohdaten!C7*100/Rohdaten!U7,"–")</f>
        <v>–</v>
      </c>
      <c r="R7" s="8" t="n">
        <f aca="false">IFERROR(Rohdaten!C7*100/Rohdaten!V7,"–")</f>
        <v>1.75</v>
      </c>
      <c r="S7" s="8" t="n">
        <f aca="false">IFERROR(Rohdaten!C7*100/Rohdaten!W7,"–")</f>
        <v>116.666666666667</v>
      </c>
      <c r="T7" s="8" t="n">
        <f aca="false">IFERROR(Rohdaten!C7*100/Rohdaten!X7,"–")</f>
        <v>3.88888888888889</v>
      </c>
      <c r="U7" s="8" t="n">
        <f aca="false">IFERROR(Rohdaten!C7*100/Rohdaten!Y7,"–")</f>
        <v>233.333333333333</v>
      </c>
      <c r="V7" s="8" t="n">
        <f aca="false">IFERROR(Rohdaten!C7*100/Rohdaten!Z7,"–")</f>
        <v>0.259259259259259</v>
      </c>
    </row>
    <row r="8" customFormat="false" ht="15" hidden="false" customHeight="true" outlineLevel="0" collapsed="false">
      <c r="A8" s="4" t="str">
        <f aca="false">Rohdaten!A8</f>
        <v>Champignons, frisch</v>
      </c>
      <c r="B8" s="8" t="n">
        <f aca="false">Rohdaten!C8</f>
        <v>1.3</v>
      </c>
      <c r="C8" s="8" t="n">
        <f aca="false">IFERROR(Rohdaten!C8*100/Rohdaten!G8,"–")</f>
        <v>5.90909090909091</v>
      </c>
      <c r="D8" s="8" t="n">
        <f aca="false">IFERROR(Rohdaten!C8*100/(Rohdaten!H8*9),"–")</f>
        <v>48.1481481481482</v>
      </c>
      <c r="E8" s="8" t="n">
        <f aca="false">IFERROR(Rohdaten!C8*100/(Rohdaten!I8*4),"–")</f>
        <v>10.4838709677419</v>
      </c>
      <c r="F8" s="8" t="n">
        <f aca="false">IFERROR(Rohdaten!C8*100/(Rohdaten!J8*4),"–")</f>
        <v>10.8333333333333</v>
      </c>
      <c r="G8" s="9" t="str">
        <f aca="false">IFERROR(Rohdaten!C8*100/Rohdaten!K8,"–")</f>
        <v>–</v>
      </c>
      <c r="H8" s="8" t="n">
        <f aca="false">IFERROR(Rohdaten!C8*100/Rohdaten!L8,"–")</f>
        <v>65</v>
      </c>
      <c r="I8" s="9" t="n">
        <f aca="false">IFERROR(Rohdaten!C8*100/Rohdaten!M8,"–")</f>
        <v>650</v>
      </c>
      <c r="J8" s="8" t="n">
        <f aca="false">IFERROR(Rohdaten!C8*100/Rohdaten!N8,"–")</f>
        <v>13000</v>
      </c>
      <c r="K8" s="9" t="str">
        <f aca="false">IFERROR(Rohdaten!C8*100/Rohdaten!O8,"–")</f>
        <v>–</v>
      </c>
      <c r="L8" s="8" t="n">
        <f aca="false">IFERROR(Rohdaten!C8*100/Rohdaten!P8,"–")</f>
        <v>1300</v>
      </c>
      <c r="M8" s="8" t="n">
        <f aca="false">IFERROR(Rohdaten!C8*100/Rohdaten!Q8,"–")</f>
        <v>325</v>
      </c>
      <c r="N8" s="8" t="n">
        <f aca="false">IFERROR(Rohdaten!C8*100/Rohdaten!R8,"–")</f>
        <v>36.1111111111111</v>
      </c>
      <c r="O8" s="8" t="n">
        <f aca="false">IFERROR(Rohdaten!C8*100/Rohdaten!S8,"–")</f>
        <v>1300</v>
      </c>
      <c r="P8" s="9" t="n">
        <f aca="false">IFERROR(Rohdaten!C8*100/Rohdaten!T8,"–")</f>
        <v>7.64705882352941</v>
      </c>
      <c r="Q8" s="9" t="str">
        <f aca="false">IFERROR(Rohdaten!C8*100/Rohdaten!U8,"–")</f>
        <v>–</v>
      </c>
      <c r="R8" s="8" t="n">
        <f aca="false">IFERROR(Rohdaten!C8*100/Rohdaten!V8,"–")</f>
        <v>43.3333333333333</v>
      </c>
      <c r="S8" s="8" t="n">
        <f aca="false">IFERROR(Rohdaten!C8*100/Rohdaten!W8,"–")</f>
        <v>260</v>
      </c>
      <c r="T8" s="8" t="n">
        <f aca="false">IFERROR(Rohdaten!C8*100/Rohdaten!X8,"–")</f>
        <v>14.4444444444444</v>
      </c>
      <c r="U8" s="8" t="n">
        <f aca="false">IFERROR(Rohdaten!C8*100/Rohdaten!Y8,"–")</f>
        <v>260</v>
      </c>
      <c r="V8" s="8" t="n">
        <f aca="false">IFERROR(Rohdaten!C8*100/Rohdaten!Z8,"–")</f>
        <v>0.40625</v>
      </c>
    </row>
    <row r="9" customFormat="false" ht="15" hidden="false" customHeight="true" outlineLevel="0" collapsed="false">
      <c r="A9" s="4" t="str">
        <f aca="false">Rohdaten!A9</f>
        <v>Champignons, Dose</v>
      </c>
      <c r="B9" s="8" t="n">
        <f aca="false">Rohdaten!C9</f>
        <v>2.4</v>
      </c>
      <c r="C9" s="8" t="n">
        <f aca="false">IFERROR(Rohdaten!C9*100/Rohdaten!G9,"–")</f>
        <v>16</v>
      </c>
      <c r="D9" s="8" t="n">
        <f aca="false">IFERROR(Rohdaten!C9*100/(Rohdaten!H9*9),"–")</f>
        <v>133.333333333333</v>
      </c>
      <c r="E9" s="8" t="n">
        <f aca="false">IFERROR(Rohdaten!C9*100/(Rohdaten!I9*4),"–")</f>
        <v>30</v>
      </c>
      <c r="F9" s="8" t="n">
        <f aca="false">IFERROR(Rohdaten!C9*100/(Rohdaten!J9*4),"–")</f>
        <v>60</v>
      </c>
      <c r="G9" s="9" t="str">
        <f aca="false">IFERROR(Rohdaten!C9*100/Rohdaten!K9,"–")</f>
        <v>–</v>
      </c>
      <c r="H9" s="8" t="n">
        <f aca="false">IFERROR(Rohdaten!C9*100/Rohdaten!L9,"–")</f>
        <v>240</v>
      </c>
      <c r="I9" s="9" t="n">
        <f aca="false">IFERROR(Rohdaten!C9*100/Rohdaten!M9,"–")</f>
        <v>2400</v>
      </c>
      <c r="J9" s="8" t="n">
        <f aca="false">IFERROR(Rohdaten!C9*100/Rohdaten!N9,"–")</f>
        <v>24000</v>
      </c>
      <c r="K9" s="9" t="str">
        <f aca="false">IFERROR(Rohdaten!C9*100/Rohdaten!O9,"–")</f>
        <v>–</v>
      </c>
      <c r="L9" s="8" t="n">
        <f aca="false">IFERROR(Rohdaten!C9*100/Rohdaten!P9,"–")</f>
        <v>8000</v>
      </c>
      <c r="M9" s="8" t="n">
        <f aca="false">IFERROR(Rohdaten!C9*100/Rohdaten!Q9,"–")</f>
        <v>1200</v>
      </c>
      <c r="N9" s="8" t="n">
        <f aca="false">IFERROR(Rohdaten!C9*100/Rohdaten!R9,"–")</f>
        <v>160</v>
      </c>
      <c r="O9" s="8" t="n">
        <f aca="false">IFERROR(Rohdaten!C9*100/Rohdaten!S9,"–")</f>
        <v>4800</v>
      </c>
      <c r="P9" s="9" t="n">
        <f aca="false">IFERROR(Rohdaten!C9*100/Rohdaten!T9,"–")</f>
        <v>24</v>
      </c>
      <c r="Q9" s="9" t="str">
        <f aca="false">IFERROR(Rohdaten!C9*100/Rohdaten!U9,"–")</f>
        <v>–</v>
      </c>
      <c r="R9" s="8" t="n">
        <f aca="false">IFERROR(Rohdaten!C9*100/Rohdaten!V9,"–")</f>
        <v>48</v>
      </c>
      <c r="S9" s="8" t="n">
        <f aca="false">IFERROR(Rohdaten!C9*100/Rohdaten!W9,"–")</f>
        <v>240</v>
      </c>
      <c r="T9" s="8" t="n">
        <f aca="false">IFERROR(Rohdaten!C9*100/Rohdaten!X9,"–")</f>
        <v>34.2857142857143</v>
      </c>
      <c r="U9" s="8" t="n">
        <f aca="false">IFERROR(Rohdaten!C9*100/Rohdaten!Y9,"–")</f>
        <v>600</v>
      </c>
      <c r="V9" s="8" t="n">
        <f aca="false">IFERROR(Rohdaten!C9*100/Rohdaten!Z9,"–")</f>
        <v>1.33333333333333</v>
      </c>
    </row>
    <row r="10" customFormat="false" ht="15" hidden="false" customHeight="true" outlineLevel="0" collapsed="false">
      <c r="A10" s="4" t="str">
        <f aca="false">Rohdaten!A10</f>
        <v>Fenchel</v>
      </c>
      <c r="B10" s="8" t="n">
        <f aca="false">Rohdaten!C10</f>
        <v>0.2</v>
      </c>
      <c r="C10" s="8" t="n">
        <f aca="false">IFERROR(Rohdaten!C10*100/Rohdaten!G10,"–")</f>
        <v>0.645161290322581</v>
      </c>
      <c r="D10" s="8" t="n">
        <f aca="false">IFERROR(Rohdaten!C10*100/(Rohdaten!H10*9),"–")</f>
        <v>11.1111111111111</v>
      </c>
      <c r="E10" s="8" t="n">
        <f aca="false">IFERROR(Rohdaten!C10*100/(Rohdaten!I10*4),"–")</f>
        <v>4.16666666666667</v>
      </c>
      <c r="F10" s="8" t="n">
        <f aca="false">IFERROR(Rohdaten!C10*100/(Rohdaten!J10*4),"–")</f>
        <v>0.714285714285714</v>
      </c>
      <c r="G10" s="9" t="n">
        <f aca="false">IFERROR(Rohdaten!C10*100/Rohdaten!K10,"–")</f>
        <v>2.85714285714286</v>
      </c>
      <c r="H10" s="8" t="n">
        <f aca="false">IFERROR(Rohdaten!C10*100/Rohdaten!L10,"–")</f>
        <v>1.66666666666667</v>
      </c>
      <c r="I10" s="9" t="str">
        <f aca="false">IFERROR(Rohdaten!C10*100/Rohdaten!M10,"–")</f>
        <v>–</v>
      </c>
      <c r="J10" s="8" t="n">
        <f aca="false">IFERROR(Rohdaten!C10*100/Rohdaten!N10,"–")</f>
        <v>33.3333333333333</v>
      </c>
      <c r="K10" s="9" t="n">
        <f aca="false">IFERROR(Rohdaten!C10*100/Rohdaten!O10,"–")</f>
        <v>0.32258064516129</v>
      </c>
      <c r="L10" s="8" t="n">
        <f aca="false">IFERROR(Rohdaten!C10*100/Rohdaten!P10,"–")</f>
        <v>2000</v>
      </c>
      <c r="M10" s="8" t="n">
        <f aca="false">IFERROR(Rohdaten!C10*100/Rohdaten!Q10,"–")</f>
        <v>666.666666666667</v>
      </c>
      <c r="N10" s="8" t="n">
        <f aca="false">IFERROR(Rohdaten!C10*100/Rohdaten!R10,"–")</f>
        <v>33.3333333333333</v>
      </c>
      <c r="O10" s="8" t="n">
        <f aca="false">IFERROR(Rohdaten!C10*100/Rohdaten!S10,"–")</f>
        <v>400</v>
      </c>
      <c r="P10" s="9" t="n">
        <f aca="false">IFERROR(Rohdaten!C10*100/Rohdaten!T10,"–")</f>
        <v>0.740740740740741</v>
      </c>
      <c r="Q10" s="9" t="str">
        <f aca="false">IFERROR(Rohdaten!C10*100/Rohdaten!U10,"–")</f>
        <v>–</v>
      </c>
      <c r="R10" s="8" t="n">
        <f aca="false">IFERROR(Rohdaten!C10*100/Rohdaten!V10,"–")</f>
        <v>0.408163265306122</v>
      </c>
      <c r="S10" s="8" t="n">
        <f aca="false">IFERROR(Rohdaten!C10*100/Rohdaten!W10,"–")</f>
        <v>28.5714285714286</v>
      </c>
      <c r="T10" s="8" t="n">
        <f aca="false">IFERROR(Rohdaten!C10*100/Rohdaten!X10,"–")</f>
        <v>1.17647058823529</v>
      </c>
      <c r="U10" s="8" t="n">
        <f aca="false">IFERROR(Rohdaten!C10*100/Rohdaten!Y10,"–")</f>
        <v>100</v>
      </c>
      <c r="V10" s="8" t="n">
        <f aca="false">IFERROR(Rohdaten!C10*100/Rohdaten!Z10,"–")</f>
        <v>0.0483091787439614</v>
      </c>
    </row>
    <row r="11" customFormat="false" ht="15" hidden="false" customHeight="true" outlineLevel="0" collapsed="false">
      <c r="A11" s="4" t="str">
        <f aca="false">Rohdaten!A11</f>
        <v>Grünkohl, frisch</v>
      </c>
      <c r="B11" s="8" t="n">
        <f aca="false">Rohdaten!C11</f>
        <v>0.3</v>
      </c>
      <c r="C11" s="8" t="n">
        <f aca="false">IFERROR(Rohdaten!C11*100/Rohdaten!G11,"–")</f>
        <v>0.612244897959184</v>
      </c>
      <c r="D11" s="8" t="n">
        <f aca="false">IFERROR(Rohdaten!C11*100/(Rohdaten!H11*9),"–")</f>
        <v>3.7037037037037</v>
      </c>
      <c r="E11" s="8" t="n">
        <f aca="false">IFERROR(Rohdaten!C11*100/(Rohdaten!I11*4),"–")</f>
        <v>1.74418604651163</v>
      </c>
      <c r="F11" s="8" t="n">
        <f aca="false">IFERROR(Rohdaten!C11*100/(Rohdaten!J11*4),"–")</f>
        <v>0.833333333333333</v>
      </c>
      <c r="G11" s="9" t="n">
        <f aca="false">IFERROR(Rohdaten!C11*100/Rohdaten!K11,"–")</f>
        <v>0.0440528634361234</v>
      </c>
      <c r="H11" s="8" t="n">
        <f aca="false">IFERROR(Rohdaten!C11*100/Rohdaten!L11,"–")</f>
        <v>0.25</v>
      </c>
      <c r="I11" s="9" t="str">
        <f aca="false">IFERROR(Rohdaten!C11*100/Rohdaten!M11,"–")</f>
        <v>–</v>
      </c>
      <c r="J11" s="8" t="n">
        <f aca="false">IFERROR(Rohdaten!C11*100/Rohdaten!N11,"–")</f>
        <v>20</v>
      </c>
      <c r="K11" s="9" t="n">
        <f aca="false">IFERROR(Rohdaten!C11*100/Rohdaten!O11,"–")</f>
        <v>0.0425531914893617</v>
      </c>
      <c r="L11" s="8" t="n">
        <f aca="false">IFERROR(Rohdaten!C11*100/Rohdaten!P11,"–")</f>
        <v>272.727272727273</v>
      </c>
      <c r="M11" s="8" t="n">
        <f aca="false">IFERROR(Rohdaten!C11*100/Rohdaten!Q11,"–")</f>
        <v>230.769230769231</v>
      </c>
      <c r="N11" s="8" t="n">
        <f aca="false">IFERROR(Rohdaten!C11*100/Rohdaten!R11,"–")</f>
        <v>30</v>
      </c>
      <c r="O11" s="8" t="n">
        <f aca="false">IFERROR(Rohdaten!C11*100/Rohdaten!S11,"–")</f>
        <v>111.111111111111</v>
      </c>
      <c r="P11" s="9" t="n">
        <f aca="false">IFERROR(Rohdaten!C11*100/Rohdaten!T11,"–")</f>
        <v>0.212765957446809</v>
      </c>
      <c r="Q11" s="9" t="str">
        <f aca="false">IFERROR(Rohdaten!C11*100/Rohdaten!U11,"–")</f>
        <v>–</v>
      </c>
      <c r="R11" s="8" t="n">
        <f aca="false">IFERROR(Rohdaten!C11*100/Rohdaten!V11,"–")</f>
        <v>0.2</v>
      </c>
      <c r="S11" s="8" t="n">
        <f aca="false">IFERROR(Rohdaten!C11*100/Rohdaten!W11,"–")</f>
        <v>20</v>
      </c>
      <c r="T11" s="8" t="n">
        <f aca="false">IFERROR(Rohdaten!C11*100/Rohdaten!X11,"–")</f>
        <v>0.882352941176471</v>
      </c>
      <c r="U11" s="8" t="n">
        <f aca="false">IFERROR(Rohdaten!C11*100/Rohdaten!Y11,"–")</f>
        <v>50</v>
      </c>
      <c r="V11" s="8" t="n">
        <f aca="false">IFERROR(Rohdaten!C11*100/Rohdaten!Z11,"–")</f>
        <v>0.0666666666666667</v>
      </c>
    </row>
    <row r="12" customFormat="false" ht="15" hidden="false" customHeight="true" outlineLevel="0" collapsed="false">
      <c r="A12" s="4" t="str">
        <f aca="false">Rohdaten!A12</f>
        <v>Grünkohl, Glas</v>
      </c>
      <c r="B12" s="8" t="n">
        <f aca="false">Rohdaten!C12</f>
        <v>0.9</v>
      </c>
      <c r="C12" s="8" t="n">
        <f aca="false">IFERROR(Rohdaten!C12*100/Rohdaten!G12,"–")</f>
        <v>2.57142857142857</v>
      </c>
      <c r="D12" s="8" t="n">
        <f aca="false">IFERROR(Rohdaten!C12*100/(Rohdaten!H12*9),"–")</f>
        <v>16.6666666666667</v>
      </c>
      <c r="E12" s="8" t="n">
        <f aca="false">IFERROR(Rohdaten!C12*100/(Rohdaten!I12*4),"–")</f>
        <v>7.5</v>
      </c>
      <c r="F12" s="8" t="n">
        <f aca="false">IFERROR(Rohdaten!C12*100/(Rohdaten!J12*4),"–")</f>
        <v>4.5</v>
      </c>
      <c r="G12" s="9" t="n">
        <f aca="false">IFERROR(Rohdaten!C12*100/Rohdaten!K12,"–")</f>
        <v>0.225</v>
      </c>
      <c r="H12" s="8" t="n">
        <f aca="false">IFERROR(Rohdaten!C12*100/Rohdaten!L12,"–")</f>
        <v>1.8</v>
      </c>
      <c r="I12" s="9" t="str">
        <f aca="false">IFERROR(Rohdaten!C12*100/Rohdaten!M12,"–")</f>
        <v>–</v>
      </c>
      <c r="J12" s="8" t="n">
        <f aca="false">IFERROR(Rohdaten!C12*100/Rohdaten!N12,"–")</f>
        <v>90</v>
      </c>
      <c r="K12" s="9" t="n">
        <f aca="false">IFERROR(Rohdaten!C12*100/Rohdaten!O12,"–")</f>
        <v>0.18</v>
      </c>
      <c r="L12" s="8" t="n">
        <f aca="false">IFERROR(Rohdaten!C12*100/Rohdaten!P12,"–")</f>
        <v>1500</v>
      </c>
      <c r="M12" s="8" t="n">
        <f aca="false">IFERROR(Rohdaten!C12*100/Rohdaten!Q12,"–")</f>
        <v>1125</v>
      </c>
      <c r="N12" s="8" t="n">
        <f aca="false">IFERROR(Rohdaten!C12*100/Rohdaten!R12,"–")</f>
        <v>150</v>
      </c>
      <c r="O12" s="8" t="n">
        <f aca="false">IFERROR(Rohdaten!C12*100/Rohdaten!S12,"–")</f>
        <v>600</v>
      </c>
      <c r="P12" s="9" t="n">
        <f aca="false">IFERROR(Rohdaten!C12*100/Rohdaten!T12,"–")</f>
        <v>1.125</v>
      </c>
      <c r="Q12" s="9" t="str">
        <f aca="false">IFERROR(Rohdaten!C12*100/Rohdaten!U12,"–")</f>
        <v>–</v>
      </c>
      <c r="R12" s="8" t="n">
        <f aca="false">IFERROR(Rohdaten!C12*100/Rohdaten!V12,"–")</f>
        <v>0.9</v>
      </c>
      <c r="S12" s="8" t="n">
        <f aca="false">IFERROR(Rohdaten!C12*100/Rohdaten!W12,"–")</f>
        <v>90</v>
      </c>
      <c r="T12" s="8" t="n">
        <f aca="false">IFERROR(Rohdaten!C12*100/Rohdaten!X12,"–")</f>
        <v>3.6</v>
      </c>
      <c r="U12" s="8" t="n">
        <f aca="false">IFERROR(Rohdaten!C12*100/Rohdaten!Y12,"–")</f>
        <v>225</v>
      </c>
      <c r="V12" s="8" t="n">
        <f aca="false">IFERROR(Rohdaten!C12*100/Rohdaten!Z12,"–")</f>
        <v>0.3</v>
      </c>
    </row>
    <row r="13" customFormat="false" ht="15" hidden="false" customHeight="true" outlineLevel="0" collapsed="false">
      <c r="A13" s="4" t="str">
        <f aca="false">Rohdaten!A13</f>
        <v>Karotten (Möhren)</v>
      </c>
      <c r="B13" s="8" t="n">
        <f aca="false">Rohdaten!C13</f>
        <v>0.1</v>
      </c>
      <c r="C13" s="8" t="n">
        <f aca="false">IFERROR(Rohdaten!C13*100/Rohdaten!G13,"–")</f>
        <v>0.24390243902439</v>
      </c>
      <c r="D13" s="8" t="n">
        <f aca="false">IFERROR(Rohdaten!C13*100/(Rohdaten!H13*9),"–")</f>
        <v>5.55555555555556</v>
      </c>
      <c r="E13" s="8" t="n">
        <f aca="false">IFERROR(Rohdaten!C13*100/(Rohdaten!I13*4),"–")</f>
        <v>2.77777777777778</v>
      </c>
      <c r="F13" s="8" t="n">
        <f aca="false">IFERROR(Rohdaten!C13*100/(Rohdaten!J13*4),"–")</f>
        <v>0.25</v>
      </c>
      <c r="G13" s="9" t="n">
        <f aca="false">IFERROR(Rohdaten!C13*100/Rohdaten!K13,"–")</f>
        <v>0.0119760479041916</v>
      </c>
      <c r="H13" s="8" t="n">
        <f aca="false">IFERROR(Rohdaten!C13*100/Rohdaten!L13,"–")</f>
        <v>1.66666666666667</v>
      </c>
      <c r="I13" s="9" t="str">
        <f aca="false">IFERROR(Rohdaten!C13*100/Rohdaten!M13,"–")</f>
        <v>–</v>
      </c>
      <c r="J13" s="8" t="n">
        <f aca="false">IFERROR(Rohdaten!C13*100/Rohdaten!N13,"–")</f>
        <v>14.2857142857143</v>
      </c>
      <c r="K13" s="9" t="n">
        <f aca="false">IFERROR(Rohdaten!C13*100/Rohdaten!O13,"–")</f>
        <v>0.769230769230769</v>
      </c>
      <c r="L13" s="8" t="n">
        <f aca="false">IFERROR(Rohdaten!C13*100/Rohdaten!P13,"–")</f>
        <v>142.857142857143</v>
      </c>
      <c r="M13" s="8" t="n">
        <f aca="false">IFERROR(Rohdaten!C13*100/Rohdaten!Q13,"–")</f>
        <v>166.666666666667</v>
      </c>
      <c r="N13" s="8" t="n">
        <f aca="false">IFERROR(Rohdaten!C13*100/Rohdaten!R13,"–")</f>
        <v>10</v>
      </c>
      <c r="O13" s="8" t="n">
        <f aca="false">IFERROR(Rohdaten!C13*100/Rohdaten!S13,"–")</f>
        <v>100</v>
      </c>
      <c r="P13" s="9" t="n">
        <f aca="false">IFERROR(Rohdaten!C13*100/Rohdaten!T13,"–")</f>
        <v>0.526315789473684</v>
      </c>
      <c r="Q13" s="9" t="str">
        <f aca="false">IFERROR(Rohdaten!C13*100/Rohdaten!U13,"–")</f>
        <v>–</v>
      </c>
      <c r="R13" s="8" t="n">
        <f aca="false">IFERROR(Rohdaten!C13*100/Rohdaten!V13,"–")</f>
        <v>0.303030303030303</v>
      </c>
      <c r="S13" s="8" t="n">
        <f aca="false">IFERROR(Rohdaten!C13*100/Rohdaten!W13,"–")</f>
        <v>33.3333333333333</v>
      </c>
      <c r="T13" s="8" t="n">
        <f aca="false">IFERROR(Rohdaten!C13*100/Rohdaten!X13,"–")</f>
        <v>0.833333333333333</v>
      </c>
      <c r="U13" s="8" t="n">
        <f aca="false">IFERROR(Rohdaten!C13*100/Rohdaten!Y13,"–")</f>
        <v>50</v>
      </c>
      <c r="V13" s="8" t="n">
        <f aca="false">IFERROR(Rohdaten!C13*100/Rohdaten!Z13,"–")</f>
        <v>0.03125</v>
      </c>
    </row>
    <row r="14" customFormat="false" ht="15" hidden="false" customHeight="true" outlineLevel="0" collapsed="false">
      <c r="A14" s="4" t="str">
        <f aca="false">Rohdaten!A14</f>
        <v>Kartoffeln, frisch</v>
      </c>
      <c r="B14" s="8" t="n">
        <f aca="false">Rohdaten!C14</f>
        <v>0.2</v>
      </c>
      <c r="C14" s="8" t="n">
        <f aca="false">IFERROR(Rohdaten!C14*100/Rohdaten!G14,"–")</f>
        <v>0.285714285714286</v>
      </c>
      <c r="D14" s="8" t="n">
        <f aca="false">IFERROR(Rohdaten!C14*100/(Rohdaten!H14*9),"–")</f>
        <v>22.2222222222222</v>
      </c>
      <c r="E14" s="8" t="n">
        <f aca="false">IFERROR(Rohdaten!C14*100/(Rohdaten!I14*4),"–")</f>
        <v>2.63157894736842</v>
      </c>
      <c r="F14" s="8" t="n">
        <f aca="false">IFERROR(Rohdaten!C14*100/(Rohdaten!J14*4),"–")</f>
        <v>0.3125</v>
      </c>
      <c r="G14" s="9" t="str">
        <f aca="false">IFERROR(Rohdaten!C14*100/Rohdaten!K14,"–")</f>
        <v>–</v>
      </c>
      <c r="H14" s="8" t="n">
        <f aca="false">IFERROR(Rohdaten!C14*100/Rohdaten!L14,"–")</f>
        <v>1</v>
      </c>
      <c r="I14" s="9" t="str">
        <f aca="false">IFERROR(Rohdaten!C14*100/Rohdaten!M14,"–")</f>
        <v>–</v>
      </c>
      <c r="J14" s="8" t="str">
        <f aca="false">IFERROR(Rohdaten!C14*100/Rohdaten!N14,"–")</f>
        <v>–</v>
      </c>
      <c r="K14" s="9" t="n">
        <f aca="false">IFERROR(Rohdaten!C14*100/Rohdaten!O14,"–")</f>
        <v>10</v>
      </c>
      <c r="L14" s="8" t="n">
        <f aca="false">IFERROR(Rohdaten!C14*100/Rohdaten!P14,"–")</f>
        <v>200</v>
      </c>
      <c r="M14" s="8" t="n">
        <f aca="false">IFERROR(Rohdaten!C14*100/Rohdaten!Q14,"–")</f>
        <v>666.666666666667</v>
      </c>
      <c r="N14" s="8" t="n">
        <f aca="false">IFERROR(Rohdaten!C14*100/Rohdaten!R14,"–")</f>
        <v>18.1818181818182</v>
      </c>
      <c r="O14" s="8" t="n">
        <f aca="false">IFERROR(Rohdaten!C14*100/Rohdaten!S14,"–")</f>
        <v>66.6666666666667</v>
      </c>
      <c r="P14" s="9" t="n">
        <f aca="false">IFERROR(Rohdaten!C14*100/Rohdaten!T14,"–")</f>
        <v>1.25</v>
      </c>
      <c r="Q14" s="9" t="str">
        <f aca="false">IFERROR(Rohdaten!C14*100/Rohdaten!U14,"–")</f>
        <v>–</v>
      </c>
      <c r="R14" s="8" t="n">
        <f aca="false">IFERROR(Rohdaten!C14*100/Rohdaten!V14,"–")</f>
        <v>2.5</v>
      </c>
      <c r="S14" s="8" t="n">
        <f aca="false">IFERROR(Rohdaten!C14*100/Rohdaten!W14,"–")</f>
        <v>40</v>
      </c>
      <c r="T14" s="8" t="n">
        <f aca="false">IFERROR(Rohdaten!C14*100/Rohdaten!X14,"–")</f>
        <v>0.952380952380952</v>
      </c>
      <c r="U14" s="8" t="n">
        <f aca="false">IFERROR(Rohdaten!C14*100/Rohdaten!Y14,"–")</f>
        <v>66.6666666666667</v>
      </c>
      <c r="V14" s="8" t="n">
        <f aca="false">IFERROR(Rohdaten!C14*100/Rohdaten!Z14,"–")</f>
        <v>0.0476190476190476</v>
      </c>
    </row>
    <row r="15" customFormat="false" ht="15" hidden="false" customHeight="true" outlineLevel="0" collapsed="false">
      <c r="A15" s="4" t="str">
        <f aca="false">Rohdaten!A15</f>
        <v>Kartoffeln (Bio)</v>
      </c>
      <c r="B15" s="8" t="n">
        <f aca="false">Rohdaten!C15</f>
        <v>0.2</v>
      </c>
      <c r="C15" s="8" t="n">
        <f aca="false">IFERROR(Rohdaten!C15*100/Rohdaten!G15,"–")</f>
        <v>0.285714285714286</v>
      </c>
      <c r="D15" s="8" t="n">
        <f aca="false">IFERROR(Rohdaten!C15*100/(Rohdaten!H15*9),"–")</f>
        <v>22.2222222222222</v>
      </c>
      <c r="E15" s="8" t="n">
        <f aca="false">IFERROR(Rohdaten!C15*100/(Rohdaten!I15*4),"–")</f>
        <v>2.63157894736842</v>
      </c>
      <c r="F15" s="8" t="n">
        <f aca="false">IFERROR(Rohdaten!C15*100/(Rohdaten!J15*4),"–")</f>
        <v>0.3125</v>
      </c>
      <c r="G15" s="9" t="str">
        <f aca="false">IFERROR(Rohdaten!C15*100/Rohdaten!K15,"–")</f>
        <v>–</v>
      </c>
      <c r="H15" s="8" t="n">
        <f aca="false">IFERROR(Rohdaten!C15*100/Rohdaten!L15,"–")</f>
        <v>1</v>
      </c>
      <c r="I15" s="9" t="str">
        <f aca="false">IFERROR(Rohdaten!C15*100/Rohdaten!M15,"–")</f>
        <v>–</v>
      </c>
      <c r="J15" s="8" t="str">
        <f aca="false">IFERROR(Rohdaten!C15*100/Rohdaten!N15,"–")</f>
        <v>–</v>
      </c>
      <c r="K15" s="9" t="n">
        <f aca="false">IFERROR(Rohdaten!C15*100/Rohdaten!O15,"–")</f>
        <v>10</v>
      </c>
      <c r="L15" s="8" t="n">
        <f aca="false">IFERROR(Rohdaten!C15*100/Rohdaten!P15,"–")</f>
        <v>200</v>
      </c>
      <c r="M15" s="8" t="n">
        <f aca="false">IFERROR(Rohdaten!C15*100/Rohdaten!Q15,"–")</f>
        <v>666.666666666667</v>
      </c>
      <c r="N15" s="8" t="n">
        <f aca="false">IFERROR(Rohdaten!C15*100/Rohdaten!R15,"–")</f>
        <v>18.1818181818182</v>
      </c>
      <c r="O15" s="8" t="n">
        <f aca="false">IFERROR(Rohdaten!C15*100/Rohdaten!S15,"–")</f>
        <v>66.6666666666667</v>
      </c>
      <c r="P15" s="9" t="n">
        <f aca="false">IFERROR(Rohdaten!C15*100/Rohdaten!T15,"–")</f>
        <v>1.25</v>
      </c>
      <c r="Q15" s="9" t="str">
        <f aca="false">IFERROR(Rohdaten!C15*100/Rohdaten!U15,"–")</f>
        <v>–</v>
      </c>
      <c r="R15" s="8" t="n">
        <f aca="false">IFERROR(Rohdaten!C15*100/Rohdaten!V15,"–")</f>
        <v>2.5</v>
      </c>
      <c r="S15" s="8" t="n">
        <f aca="false">IFERROR(Rohdaten!C15*100/Rohdaten!W15,"–")</f>
        <v>40</v>
      </c>
      <c r="T15" s="8" t="n">
        <f aca="false">IFERROR(Rohdaten!C15*100/Rohdaten!X15,"–")</f>
        <v>0.952380952380952</v>
      </c>
      <c r="U15" s="8" t="n">
        <f aca="false">IFERROR(Rohdaten!C15*100/Rohdaten!Y15,"–")</f>
        <v>66.6666666666667</v>
      </c>
      <c r="V15" s="8" t="n">
        <f aca="false">IFERROR(Rohdaten!C15*100/Rohdaten!Z15,"–")</f>
        <v>0.0476190476190476</v>
      </c>
    </row>
    <row r="16" customFormat="false" ht="15" hidden="false" customHeight="true" outlineLevel="0" collapsed="false">
      <c r="A16" s="4" t="str">
        <f aca="false">Rohdaten!A16</f>
        <v>Kartoffelpüreepulver</v>
      </c>
      <c r="B16" s="8" t="n">
        <f aca="false">Rohdaten!C16</f>
        <v>0.9</v>
      </c>
      <c r="C16" s="8" t="n">
        <f aca="false">IFERROR(Rohdaten!C16*100/Rohdaten!G16,"–")</f>
        <v>0.257142857142857</v>
      </c>
      <c r="D16" s="8" t="n">
        <f aca="false">IFERROR(Rohdaten!C16*100/(Rohdaten!H16*9),"–")</f>
        <v>10</v>
      </c>
      <c r="E16" s="8" t="n">
        <f aca="false">IFERROR(Rohdaten!C16*100/(Rohdaten!I16*4),"–")</f>
        <v>2.8125</v>
      </c>
      <c r="F16" s="8" t="n">
        <f aca="false">IFERROR(Rohdaten!C16*100/(Rohdaten!J16*4),"–")</f>
        <v>0.288461538461538</v>
      </c>
      <c r="G16" s="9" t="str">
        <f aca="false">IFERROR(Rohdaten!C16*100/Rohdaten!K16,"–")</f>
        <v>–</v>
      </c>
      <c r="H16" s="8" t="n">
        <f aca="false">IFERROR(Rohdaten!C16*100/Rohdaten!L16,"–")</f>
        <v>6</v>
      </c>
      <c r="I16" s="9" t="str">
        <f aca="false">IFERROR(Rohdaten!C16*100/Rohdaten!M16,"–")</f>
        <v>–</v>
      </c>
      <c r="J16" s="8" t="str">
        <f aca="false">IFERROR(Rohdaten!C16*100/Rohdaten!N16,"–")</f>
        <v>–</v>
      </c>
      <c r="K16" s="9" t="str">
        <f aca="false">IFERROR(Rohdaten!C16*100/Rohdaten!O16,"–")</f>
        <v>–</v>
      </c>
      <c r="L16" s="8" t="n">
        <f aca="false">IFERROR(Rohdaten!C16*100/Rohdaten!P16,"–")</f>
        <v>600</v>
      </c>
      <c r="M16" s="8" t="n">
        <f aca="false">IFERROR(Rohdaten!C16*100/Rohdaten!Q16,"–")</f>
        <v>1800</v>
      </c>
      <c r="N16" s="8" t="n">
        <f aca="false">IFERROR(Rohdaten!C16*100/Rohdaten!R16,"–")</f>
        <v>30</v>
      </c>
      <c r="O16" s="8" t="n">
        <f aca="false">IFERROR(Rohdaten!C16*100/Rohdaten!S16,"–")</f>
        <v>180</v>
      </c>
      <c r="P16" s="9" t="n">
        <f aca="false">IFERROR(Rohdaten!C16*100/Rohdaten!T16,"–")</f>
        <v>4.5</v>
      </c>
      <c r="Q16" s="9" t="str">
        <f aca="false">IFERROR(Rohdaten!C16*100/Rohdaten!U16,"–")</f>
        <v>–</v>
      </c>
      <c r="R16" s="8" t="n">
        <f aca="false">IFERROR(Rohdaten!C16*100/Rohdaten!V16,"–")</f>
        <v>2.25</v>
      </c>
      <c r="S16" s="8" t="n">
        <f aca="false">IFERROR(Rohdaten!C16*100/Rohdaten!W16,"–")</f>
        <v>45</v>
      </c>
      <c r="T16" s="8" t="n">
        <f aca="false">IFERROR(Rohdaten!C16*100/Rohdaten!X16,"–")</f>
        <v>1.8</v>
      </c>
      <c r="U16" s="8" t="n">
        <f aca="false">IFERROR(Rohdaten!C16*100/Rohdaten!Y16,"–")</f>
        <v>112.5</v>
      </c>
      <c r="V16" s="8" t="n">
        <f aca="false">IFERROR(Rohdaten!C16*100/Rohdaten!Z16,"–")</f>
        <v>0.1</v>
      </c>
    </row>
    <row r="17" customFormat="false" ht="15" hidden="false" customHeight="true" outlineLevel="0" collapsed="false">
      <c r="A17" s="4" t="str">
        <f aca="false">Rohdaten!A17</f>
        <v>Kohlrabi</v>
      </c>
      <c r="B17" s="8" t="n">
        <f aca="false">Rohdaten!C17</f>
        <v>0.2</v>
      </c>
      <c r="C17" s="8" t="n">
        <f aca="false">IFERROR(Rohdaten!C17*100/Rohdaten!G17,"–")</f>
        <v>0.740740740740741</v>
      </c>
      <c r="D17" s="8" t="n">
        <f aca="false">IFERROR(Rohdaten!C17*100/(Rohdaten!H17*9),"–")</f>
        <v>22.2222222222222</v>
      </c>
      <c r="E17" s="8" t="n">
        <f aca="false">IFERROR(Rohdaten!C17*100/(Rohdaten!I17*4),"–")</f>
        <v>2.94117647058824</v>
      </c>
      <c r="F17" s="8" t="n">
        <f aca="false">IFERROR(Rohdaten!C17*100/(Rohdaten!J17*4),"–")</f>
        <v>1</v>
      </c>
      <c r="G17" s="9" t="n">
        <f aca="false">IFERROR(Rohdaten!C17*100/Rohdaten!K17,"–")</f>
        <v>5</v>
      </c>
      <c r="H17" s="8" t="n">
        <f aca="false">IFERROR(Rohdaten!C17*100/Rohdaten!L17,"–")</f>
        <v>0.32258064516129</v>
      </c>
      <c r="I17" s="9" t="str">
        <f aca="false">IFERROR(Rohdaten!C17*100/Rohdaten!M17,"–")</f>
        <v>–</v>
      </c>
      <c r="J17" s="8" t="n">
        <f aca="false">IFERROR(Rohdaten!C17*100/Rohdaten!N17,"–")</f>
        <v>200</v>
      </c>
      <c r="K17" s="9" t="n">
        <f aca="false">IFERROR(Rohdaten!C17*100/Rohdaten!O17,"–")</f>
        <v>200</v>
      </c>
      <c r="L17" s="8" t="n">
        <f aca="false">IFERROR(Rohdaten!C17*100/Rohdaten!P17,"–")</f>
        <v>400</v>
      </c>
      <c r="M17" s="8" t="n">
        <f aca="false">IFERROR(Rohdaten!C17*100/Rohdaten!Q17,"–")</f>
        <v>1000</v>
      </c>
      <c r="N17" s="8" t="n">
        <f aca="false">IFERROR(Rohdaten!C17*100/Rohdaten!R17,"–")</f>
        <v>50</v>
      </c>
      <c r="O17" s="8" t="n">
        <f aca="false">IFERROR(Rohdaten!C17*100/Rohdaten!S17,"–")</f>
        <v>133.333333333333</v>
      </c>
      <c r="P17" s="9" t="n">
        <f aca="false">IFERROR(Rohdaten!C17*100/Rohdaten!T17,"–")</f>
        <v>1.25</v>
      </c>
      <c r="Q17" s="9" t="str">
        <f aca="false">IFERROR(Rohdaten!C17*100/Rohdaten!U17,"–")</f>
        <v>–</v>
      </c>
      <c r="R17" s="8" t="n">
        <f aca="false">IFERROR(Rohdaten!C17*100/Rohdaten!V17,"–")</f>
        <v>0.833333333333333</v>
      </c>
      <c r="S17" s="8" t="n">
        <f aca="false">IFERROR(Rohdaten!C17*100/Rohdaten!W17,"–")</f>
        <v>50</v>
      </c>
      <c r="T17" s="8" t="n">
        <f aca="false">IFERROR(Rohdaten!C17*100/Rohdaten!X17,"–")</f>
        <v>1.05263157894737</v>
      </c>
      <c r="U17" s="8" t="n">
        <f aca="false">IFERROR(Rohdaten!C17*100/Rohdaten!Y17,"–")</f>
        <v>100</v>
      </c>
      <c r="V17" s="8" t="n">
        <f aca="false">IFERROR(Rohdaten!C17*100/Rohdaten!Z17,"–")</f>
        <v>0.0571428571428571</v>
      </c>
    </row>
    <row r="18" customFormat="false" ht="15" hidden="false" customHeight="true" outlineLevel="0" collapsed="false">
      <c r="A18" s="4" t="str">
        <f aca="false">Rohdaten!A18</f>
        <v>Kürbis</v>
      </c>
      <c r="B18" s="8" t="n">
        <f aca="false">Rohdaten!C18</f>
        <v>0.2</v>
      </c>
      <c r="C18" s="8" t="n">
        <f aca="false">IFERROR(Rohdaten!C18*100/Rohdaten!G18,"–")</f>
        <v>0.769230769230769</v>
      </c>
      <c r="D18" s="8" t="n">
        <f aca="false">IFERROR(Rohdaten!C18*100/(Rohdaten!H18*9),"–")</f>
        <v>22.2222222222222</v>
      </c>
      <c r="E18" s="8" t="n">
        <f aca="false">IFERROR(Rohdaten!C18*100/(Rohdaten!I18*4),"–")</f>
        <v>5</v>
      </c>
      <c r="F18" s="8" t="n">
        <f aca="false">IFERROR(Rohdaten!C18*100/(Rohdaten!J18*4),"–")</f>
        <v>0.833333333333333</v>
      </c>
      <c r="G18" s="9" t="n">
        <f aca="false">IFERROR(Rohdaten!C18*100/Rohdaten!K18,"–")</f>
        <v>0.117647058823529</v>
      </c>
      <c r="H18" s="8" t="n">
        <f aca="false">IFERROR(Rohdaten!C18*100/Rohdaten!L18,"–")</f>
        <v>2.22222222222222</v>
      </c>
      <c r="I18" s="9" t="str">
        <f aca="false">IFERROR(Rohdaten!C18*100/Rohdaten!M18,"–")</f>
        <v>–</v>
      </c>
      <c r="J18" s="8" t="n">
        <f aca="false">IFERROR(Rohdaten!C18*100/Rohdaten!N18,"–")</f>
        <v>50</v>
      </c>
      <c r="K18" s="9" t="n">
        <f aca="false">IFERROR(Rohdaten!C18*100/Rohdaten!O18,"–")</f>
        <v>18.1818181818182</v>
      </c>
      <c r="L18" s="8" t="n">
        <f aca="false">IFERROR(Rohdaten!C18*100/Rohdaten!P18,"–")</f>
        <v>400</v>
      </c>
      <c r="M18" s="8" t="n">
        <f aca="false">IFERROR(Rohdaten!C18*100/Rohdaten!Q18,"–")</f>
        <v>181.818181818182</v>
      </c>
      <c r="N18" s="8" t="n">
        <f aca="false">IFERROR(Rohdaten!C18*100/Rohdaten!R18,"–")</f>
        <v>33.3333333333333</v>
      </c>
      <c r="O18" s="8" t="n">
        <f aca="false">IFERROR(Rohdaten!C18*100/Rohdaten!S18,"–")</f>
        <v>333.333333333333</v>
      </c>
      <c r="P18" s="9" t="n">
        <f aca="false">IFERROR(Rohdaten!C18*100/Rohdaten!T18,"–")</f>
        <v>1.25</v>
      </c>
      <c r="Q18" s="9" t="str">
        <f aca="false">IFERROR(Rohdaten!C18*100/Rohdaten!U18,"–")</f>
        <v>–</v>
      </c>
      <c r="R18" s="8" t="n">
        <f aca="false">IFERROR(Rohdaten!C18*100/Rohdaten!V18,"–")</f>
        <v>0.952380952380952</v>
      </c>
      <c r="S18" s="8" t="n">
        <f aca="false">IFERROR(Rohdaten!C18*100/Rohdaten!W18,"–")</f>
        <v>25</v>
      </c>
      <c r="T18" s="8" t="n">
        <f aca="false">IFERROR(Rohdaten!C18*100/Rohdaten!X18,"–")</f>
        <v>1.66666666666667</v>
      </c>
      <c r="U18" s="8" t="n">
        <f aca="false">IFERROR(Rohdaten!C18*100/Rohdaten!Y18,"–")</f>
        <v>66.6666666666667</v>
      </c>
      <c r="V18" s="8" t="n">
        <f aca="false">IFERROR(Rohdaten!C18*100/Rohdaten!Z18,"–")</f>
        <v>0.0588235294117647</v>
      </c>
    </row>
    <row r="19" customFormat="false" ht="15" hidden="false" customHeight="true" outlineLevel="0" collapsed="false">
      <c r="A19" s="4" t="str">
        <f aca="false">Rohdaten!A19</f>
        <v>Lauch (Porree)</v>
      </c>
      <c r="B19" s="8" t="n">
        <f aca="false">Rohdaten!C19</f>
        <v>0.2</v>
      </c>
      <c r="C19" s="8" t="n">
        <f aca="false">IFERROR(Rohdaten!C19*100/Rohdaten!G19,"–")</f>
        <v>0.327868852459016</v>
      </c>
      <c r="D19" s="8" t="n">
        <f aca="false">IFERROR(Rohdaten!C19*100/(Rohdaten!H19*9),"–")</f>
        <v>7.40740740740741</v>
      </c>
      <c r="E19" s="8" t="n">
        <f aca="false">IFERROR(Rohdaten!C19*100/(Rohdaten!I19*4),"–")</f>
        <v>3.33333333333333</v>
      </c>
      <c r="F19" s="8" t="n">
        <f aca="false">IFERROR(Rohdaten!C19*100/(Rohdaten!J19*4),"–")</f>
        <v>0.357142857142857</v>
      </c>
      <c r="G19" s="9" t="n">
        <f aca="false">IFERROR(Rohdaten!C19*100/Rohdaten!K19,"–")</f>
        <v>0.240963855421687</v>
      </c>
      <c r="H19" s="8" t="n">
        <f aca="false">IFERROR(Rohdaten!C19*100/Rohdaten!L19,"–")</f>
        <v>1.66666666666667</v>
      </c>
      <c r="I19" s="9" t="str">
        <f aca="false">IFERROR(Rohdaten!C19*100/Rohdaten!M19,"–")</f>
        <v>–</v>
      </c>
      <c r="J19" s="8" t="n">
        <f aca="false">IFERROR(Rohdaten!C19*100/Rohdaten!N19,"–")</f>
        <v>22.2222222222222</v>
      </c>
      <c r="K19" s="9" t="n">
        <f aca="false">IFERROR(Rohdaten!C19*100/Rohdaten!O19,"–")</f>
        <v>0.425531914893617</v>
      </c>
      <c r="L19" s="8" t="n">
        <f aca="false">IFERROR(Rohdaten!C19*100/Rohdaten!P19,"–")</f>
        <v>333.333333333333</v>
      </c>
      <c r="M19" s="8" t="n">
        <f aca="false">IFERROR(Rohdaten!C19*100/Rohdaten!Q19,"–")</f>
        <v>666.666666666667</v>
      </c>
      <c r="N19" s="8" t="n">
        <f aca="false">IFERROR(Rohdaten!C19*100/Rohdaten!R19,"–")</f>
        <v>50</v>
      </c>
      <c r="O19" s="8" t="n">
        <f aca="false">IFERROR(Rohdaten!C19*100/Rohdaten!S19,"–")</f>
        <v>86.9565217391304</v>
      </c>
      <c r="P19" s="9" t="n">
        <f aca="false">IFERROR(Rohdaten!C19*100/Rohdaten!T19,"–")</f>
        <v>0.3125</v>
      </c>
      <c r="Q19" s="9" t="str">
        <f aca="false">IFERROR(Rohdaten!C19*100/Rohdaten!U19,"–")</f>
        <v>–</v>
      </c>
      <c r="R19" s="8" t="n">
        <f aca="false">IFERROR(Rohdaten!C19*100/Rohdaten!V19,"–")</f>
        <v>0.338983050847458</v>
      </c>
      <c r="S19" s="8" t="n">
        <f aca="false">IFERROR(Rohdaten!C19*100/Rohdaten!W19,"–")</f>
        <v>9.52380952380952</v>
      </c>
      <c r="T19" s="8" t="n">
        <f aca="false">IFERROR(Rohdaten!C19*100/Rohdaten!X19,"–")</f>
        <v>0.714285714285714</v>
      </c>
      <c r="U19" s="8" t="n">
        <f aca="false">IFERROR(Rohdaten!C19*100/Rohdaten!Y19,"–")</f>
        <v>200</v>
      </c>
      <c r="V19" s="8" t="n">
        <f aca="false">IFERROR(Rohdaten!C19*100/Rohdaten!Z19,"–")</f>
        <v>0.111111111111111</v>
      </c>
    </row>
    <row r="20" customFormat="false" ht="15" hidden="false" customHeight="true" outlineLevel="0" collapsed="false">
      <c r="A20" s="4" t="str">
        <f aca="false">Rohdaten!A20</f>
        <v>Paprika, frisch</v>
      </c>
      <c r="B20" s="8" t="n">
        <f aca="false">Rohdaten!C20</f>
        <v>0.6</v>
      </c>
      <c r="C20" s="8" t="n">
        <f aca="false">IFERROR(Rohdaten!C20*100/Rohdaten!G20,"–")</f>
        <v>1.93548387096774</v>
      </c>
      <c r="D20" s="8" t="n">
        <f aca="false">IFERROR(Rohdaten!C20*100/(Rohdaten!H20*9),"–")</f>
        <v>22.2222222222222</v>
      </c>
      <c r="E20" s="8" t="n">
        <f aca="false">IFERROR(Rohdaten!C20*100/(Rohdaten!I20*4),"–")</f>
        <v>15</v>
      </c>
      <c r="F20" s="8" t="n">
        <f aca="false">IFERROR(Rohdaten!C20*100/(Rohdaten!J20*4),"–")</f>
        <v>2.5</v>
      </c>
      <c r="G20" s="9" t="n">
        <f aca="false">IFERROR(Rohdaten!C20*100/Rohdaten!K20,"–")</f>
        <v>0.382165605095541</v>
      </c>
      <c r="H20" s="8" t="n">
        <f aca="false">IFERROR(Rohdaten!C20*100/Rohdaten!L20,"–")</f>
        <v>0.46875</v>
      </c>
      <c r="I20" s="9" t="str">
        <f aca="false">IFERROR(Rohdaten!C20*100/Rohdaten!M20,"–")</f>
        <v>–</v>
      </c>
      <c r="J20" s="8" t="n">
        <f aca="false">IFERROR(Rohdaten!C20*100/Rohdaten!N20,"–")</f>
        <v>37.5</v>
      </c>
      <c r="K20" s="9" t="n">
        <f aca="false">IFERROR(Rohdaten!C20*100/Rohdaten!O20,"–")</f>
        <v>12.2448979591837</v>
      </c>
      <c r="L20" s="8" t="n">
        <f aca="false">IFERROR(Rohdaten!C20*100/Rohdaten!P20,"–")</f>
        <v>1200</v>
      </c>
      <c r="M20" s="8" t="n">
        <f aca="false">IFERROR(Rohdaten!C20*100/Rohdaten!Q20,"–")</f>
        <v>666.666666666667</v>
      </c>
      <c r="N20" s="8" t="n">
        <f aca="false">IFERROR(Rohdaten!C20*100/Rohdaten!R20,"–")</f>
        <v>50</v>
      </c>
      <c r="O20" s="8" t="n">
        <f aca="false">IFERROR(Rohdaten!C20*100/Rohdaten!S20,"–")</f>
        <v>200</v>
      </c>
      <c r="P20" s="9" t="n">
        <f aca="false">IFERROR(Rohdaten!C20*100/Rohdaten!T20,"–")</f>
        <v>1.30434782608696</v>
      </c>
      <c r="Q20" s="9" t="str">
        <f aca="false">IFERROR(Rohdaten!C20*100/Rohdaten!U20,"–")</f>
        <v>–</v>
      </c>
      <c r="R20" s="8" t="n">
        <f aca="false">IFERROR(Rohdaten!C20*100/Rohdaten!V20,"–")</f>
        <v>8.57142857142857</v>
      </c>
      <c r="S20" s="8" t="n">
        <f aca="false">IFERROR(Rohdaten!C20*100/Rohdaten!W20,"–")</f>
        <v>150</v>
      </c>
      <c r="T20" s="8" t="n">
        <f aca="false">IFERROR(Rohdaten!C20*100/Rohdaten!X20,"–")</f>
        <v>5</v>
      </c>
      <c r="U20" s="8" t="n">
        <f aca="false">IFERROR(Rohdaten!C20*100/Rohdaten!Y20,"–")</f>
        <v>200</v>
      </c>
      <c r="V20" s="8" t="n">
        <f aca="false">IFERROR(Rohdaten!C20*100/Rohdaten!Z20,"–")</f>
        <v>0.285714285714286</v>
      </c>
    </row>
    <row r="21" customFormat="false" ht="15" hidden="false" customHeight="true" outlineLevel="0" collapsed="false">
      <c r="A21" s="4" t="str">
        <f aca="false">Rohdaten!A21</f>
        <v>Rettich</v>
      </c>
      <c r="B21" s="8" t="n">
        <f aca="false">Rohdaten!C21</f>
        <v>0.2</v>
      </c>
      <c r="C21" s="8" t="n">
        <f aca="false">IFERROR(Rohdaten!C21*100/Rohdaten!G21,"–")</f>
        <v>1.25</v>
      </c>
      <c r="D21" s="8" t="n">
        <f aca="false">IFERROR(Rohdaten!C21*100/(Rohdaten!H21*9),"–")</f>
        <v>22.2222222222222</v>
      </c>
      <c r="E21" s="8" t="n">
        <f aca="false">IFERROR(Rohdaten!C21*100/(Rohdaten!I21*4),"–")</f>
        <v>7.14285714285714</v>
      </c>
      <c r="F21" s="8" t="n">
        <f aca="false">IFERROR(Rohdaten!C21*100/(Rohdaten!J21*4),"–")</f>
        <v>1.66666666666667</v>
      </c>
      <c r="G21" s="9" t="str">
        <f aca="false">IFERROR(Rohdaten!C21*100/Rohdaten!K21,"–")</f>
        <v>–</v>
      </c>
      <c r="H21" s="8" t="n">
        <f aca="false">IFERROR(Rohdaten!C21*100/Rohdaten!L21,"–")</f>
        <v>1.33333333333333</v>
      </c>
      <c r="I21" s="9" t="str">
        <f aca="false">IFERROR(Rohdaten!C21*100/Rohdaten!M21,"–")</f>
        <v>–</v>
      </c>
      <c r="J21" s="8" t="str">
        <f aca="false">IFERROR(Rohdaten!C21*100/Rohdaten!N21,"–")</f>
        <v>–</v>
      </c>
      <c r="K21" s="9" t="n">
        <f aca="false">IFERROR(Rohdaten!C21*100/Rohdaten!O21,"–")</f>
        <v>15.3846153846154</v>
      </c>
      <c r="L21" s="8" t="n">
        <f aca="false">IFERROR(Rohdaten!C21*100/Rohdaten!P21,"–")</f>
        <v>2000</v>
      </c>
      <c r="M21" s="8" t="n">
        <f aca="false">IFERROR(Rohdaten!C21*100/Rohdaten!Q21,"–")</f>
        <v>500</v>
      </c>
      <c r="N21" s="8" t="n">
        <f aca="false">IFERROR(Rohdaten!C21*100/Rohdaten!R21,"–")</f>
        <v>66.6666666666667</v>
      </c>
      <c r="O21" s="8" t="n">
        <f aca="false">IFERROR(Rohdaten!C21*100/Rohdaten!S21,"–")</f>
        <v>285.714285714286</v>
      </c>
      <c r="P21" s="9" t="n">
        <f aca="false">IFERROR(Rohdaten!C21*100/Rohdaten!T21,"–")</f>
        <v>0.8</v>
      </c>
      <c r="Q21" s="9" t="str">
        <f aca="false">IFERROR(Rohdaten!C21*100/Rohdaten!U21,"–")</f>
        <v>–</v>
      </c>
      <c r="R21" s="8" t="n">
        <f aca="false">IFERROR(Rohdaten!C21*100/Rohdaten!V21,"–")</f>
        <v>0.8</v>
      </c>
      <c r="S21" s="8" t="n">
        <f aca="false">IFERROR(Rohdaten!C21*100/Rohdaten!W21,"–")</f>
        <v>66.6666666666667</v>
      </c>
      <c r="T21" s="8" t="n">
        <f aca="false">IFERROR(Rohdaten!C21*100/Rohdaten!X21,"–")</f>
        <v>2</v>
      </c>
      <c r="U21" s="8" t="n">
        <f aca="false">IFERROR(Rohdaten!C21*100/Rohdaten!Y21,"–")</f>
        <v>66.6666666666667</v>
      </c>
      <c r="V21" s="8" t="n">
        <f aca="false">IFERROR(Rohdaten!C21*100/Rohdaten!Z21,"–")</f>
        <v>0.0869565217391304</v>
      </c>
    </row>
    <row r="22" customFormat="false" ht="15" hidden="false" customHeight="true" outlineLevel="0" collapsed="false">
      <c r="A22" s="4" t="str">
        <f aca="false">Rohdaten!A22</f>
        <v>Rosenkohl, frisch</v>
      </c>
      <c r="B22" s="8" t="n">
        <f aca="false">Rohdaten!C22</f>
        <v>0.3</v>
      </c>
      <c r="C22" s="8" t="n">
        <f aca="false">IFERROR(Rohdaten!C22*100/Rohdaten!G22,"–")</f>
        <v>0.697674418604651</v>
      </c>
      <c r="D22" s="8" t="n">
        <f aca="false">IFERROR(Rohdaten!C22*100/(Rohdaten!H22*9),"–")</f>
        <v>11.1111111111111</v>
      </c>
      <c r="E22" s="8" t="n">
        <f aca="false">IFERROR(Rohdaten!C22*100/(Rohdaten!I22*4),"–")</f>
        <v>2.20588235294118</v>
      </c>
      <c r="F22" s="8" t="n">
        <f aca="false">IFERROR(Rohdaten!C22*100/(Rohdaten!J22*4),"–")</f>
        <v>0.833333333333333</v>
      </c>
      <c r="G22" s="9" t="n">
        <f aca="false">IFERROR(Rohdaten!C22*100/Rohdaten!K22,"–")</f>
        <v>0.789473684210526</v>
      </c>
      <c r="H22" s="8" t="n">
        <f aca="false">IFERROR(Rohdaten!C22*100/Rohdaten!L22,"–")</f>
        <v>0.352941176470588</v>
      </c>
      <c r="I22" s="9" t="str">
        <f aca="false">IFERROR(Rohdaten!C22*100/Rohdaten!M22,"–")</f>
        <v>–</v>
      </c>
      <c r="J22" s="8" t="n">
        <f aca="false">IFERROR(Rohdaten!C22*100/Rohdaten!N22,"–")</f>
        <v>33.3333333333333</v>
      </c>
      <c r="K22" s="9" t="n">
        <f aca="false">IFERROR(Rohdaten!C22*100/Rohdaten!O22,"–")</f>
        <v>0.169491525423729</v>
      </c>
      <c r="L22" s="8" t="n">
        <f aca="false">IFERROR(Rohdaten!C22*100/Rohdaten!P22,"–")</f>
        <v>214.285714285714</v>
      </c>
      <c r="M22" s="8" t="n">
        <f aca="false">IFERROR(Rohdaten!C22*100/Rohdaten!Q22,"–")</f>
        <v>333.333333333333</v>
      </c>
      <c r="N22" s="8" t="n">
        <f aca="false">IFERROR(Rohdaten!C22*100/Rohdaten!R22,"–")</f>
        <v>42.8571428571429</v>
      </c>
      <c r="O22" s="8" t="n">
        <f aca="false">IFERROR(Rohdaten!C22*100/Rohdaten!S22,"–")</f>
        <v>136.363636363636</v>
      </c>
      <c r="P22" s="9" t="n">
        <f aca="false">IFERROR(Rohdaten!C22*100/Rohdaten!T22,"–")</f>
        <v>0.491803278688525</v>
      </c>
      <c r="Q22" s="9" t="str">
        <f aca="false">IFERROR(Rohdaten!C22*100/Rohdaten!U22,"–")</f>
        <v>–</v>
      </c>
      <c r="R22" s="8" t="n">
        <f aca="false">IFERROR(Rohdaten!C22*100/Rohdaten!V22,"–")</f>
        <v>0.714285714285714</v>
      </c>
      <c r="S22" s="8" t="n">
        <f aca="false">IFERROR(Rohdaten!C22*100/Rohdaten!W22,"–")</f>
        <v>21.4285714285714</v>
      </c>
      <c r="T22" s="8" t="n">
        <f aca="false">IFERROR(Rohdaten!C22*100/Rohdaten!X22,"–")</f>
        <v>1.30434782608696</v>
      </c>
      <c r="U22" s="8" t="n">
        <f aca="false">IFERROR(Rohdaten!C22*100/Rohdaten!Y22,"–")</f>
        <v>75</v>
      </c>
      <c r="V22" s="8" t="n">
        <f aca="false">IFERROR(Rohdaten!C22*100/Rohdaten!Z22,"–")</f>
        <v>0.077120822622108</v>
      </c>
    </row>
    <row r="23" customFormat="false" ht="15" hidden="false" customHeight="true" outlineLevel="0" collapsed="false">
      <c r="A23" s="4" t="str">
        <f aca="false">Rohdaten!A23</f>
        <v>Rosenkohl, gefroren</v>
      </c>
      <c r="B23" s="8" t="n">
        <f aca="false">Rohdaten!C23</f>
        <v>0.6</v>
      </c>
      <c r="C23" s="8" t="n">
        <f aca="false">IFERROR(Rohdaten!C23*100/Rohdaten!G23,"–")</f>
        <v>1.71428571428571</v>
      </c>
      <c r="D23" s="8" t="n">
        <f aca="false">IFERROR(Rohdaten!C23*100/(Rohdaten!H23*9),"–")</f>
        <v>22.2222222222222</v>
      </c>
      <c r="E23" s="8" t="n">
        <f aca="false">IFERROR(Rohdaten!C23*100/(Rohdaten!I23*4),"–")</f>
        <v>5.35714285714286</v>
      </c>
      <c r="F23" s="8" t="n">
        <f aca="false">IFERROR(Rohdaten!C23*100/(Rohdaten!J23*4),"–")</f>
        <v>2.5</v>
      </c>
      <c r="G23" s="9" t="n">
        <f aca="false">IFERROR(Rohdaten!C23*100/Rohdaten!K23,"–")</f>
        <v>2</v>
      </c>
      <c r="H23" s="8" t="n">
        <f aca="false">IFERROR(Rohdaten!C23*100/Rohdaten!L23,"–")</f>
        <v>1</v>
      </c>
      <c r="I23" s="9" t="str">
        <f aca="false">IFERROR(Rohdaten!C23*100/Rohdaten!M23,"–")</f>
        <v>–</v>
      </c>
      <c r="J23" s="8" t="n">
        <f aca="false">IFERROR(Rohdaten!C23*100/Rohdaten!N23,"–")</f>
        <v>85.7142857142857</v>
      </c>
      <c r="K23" s="9" t="n">
        <f aca="false">IFERROR(Rohdaten!C23*100/Rohdaten!O23,"–")</f>
        <v>0.428571428571429</v>
      </c>
      <c r="L23" s="8" t="n">
        <f aca="false">IFERROR(Rohdaten!C23*100/Rohdaten!P23,"–")</f>
        <v>600</v>
      </c>
      <c r="M23" s="8" t="n">
        <f aca="false">IFERROR(Rohdaten!C23*100/Rohdaten!Q23,"–")</f>
        <v>857.142857142857</v>
      </c>
      <c r="N23" s="8" t="n">
        <f aca="false">IFERROR(Rohdaten!C23*100/Rohdaten!R23,"–")</f>
        <v>120</v>
      </c>
      <c r="O23" s="8" t="n">
        <f aca="false">IFERROR(Rohdaten!C23*100/Rohdaten!S23,"–")</f>
        <v>352.941176470588</v>
      </c>
      <c r="P23" s="9" t="n">
        <f aca="false">IFERROR(Rohdaten!C23*100/Rohdaten!T23,"–")</f>
        <v>1.2</v>
      </c>
      <c r="Q23" s="9" t="str">
        <f aca="false">IFERROR(Rohdaten!C23*100/Rohdaten!U23,"–")</f>
        <v>–</v>
      </c>
      <c r="R23" s="8" t="n">
        <f aca="false">IFERROR(Rohdaten!C23*100/Rohdaten!V23,"–")</f>
        <v>1.71428571428571</v>
      </c>
      <c r="S23" s="8" t="n">
        <f aca="false">IFERROR(Rohdaten!C23*100/Rohdaten!W23,"–")</f>
        <v>54.5454545454545</v>
      </c>
      <c r="T23" s="8" t="n">
        <f aca="false">IFERROR(Rohdaten!C23*100/Rohdaten!X23,"–")</f>
        <v>3.15789473684211</v>
      </c>
      <c r="U23" s="8" t="n">
        <f aca="false">IFERROR(Rohdaten!C23*100/Rohdaten!Y23,"–")</f>
        <v>200</v>
      </c>
      <c r="V23" s="8" t="n">
        <f aca="false">IFERROR(Rohdaten!C23*100/Rohdaten!Z23,"–")</f>
        <v>0.1875</v>
      </c>
    </row>
    <row r="24" customFormat="false" ht="15" hidden="false" customHeight="true" outlineLevel="0" collapsed="false">
      <c r="A24" s="4" t="str">
        <f aca="false">Rohdaten!A24</f>
        <v>Rote Bete, frisch</v>
      </c>
      <c r="B24" s="8" t="n">
        <f aca="false">Rohdaten!C24</f>
        <v>0.2</v>
      </c>
      <c r="C24" s="8" t="n">
        <f aca="false">IFERROR(Rohdaten!C24*100/Rohdaten!G24,"–")</f>
        <v>0.465116279069767</v>
      </c>
      <c r="D24" s="8" t="n">
        <f aca="false">IFERROR(Rohdaten!C24*100/(Rohdaten!H24*9),"–")</f>
        <v>11.1111111111111</v>
      </c>
      <c r="E24" s="8" t="n">
        <f aca="false">IFERROR(Rohdaten!C24*100/(Rohdaten!I24*4),"–")</f>
        <v>3.125</v>
      </c>
      <c r="F24" s="8" t="n">
        <f aca="false">IFERROR(Rohdaten!C24*100/(Rohdaten!J24*4),"–")</f>
        <v>0.5</v>
      </c>
      <c r="G24" s="9" t="n">
        <f aca="false">IFERROR(Rohdaten!C24*100/Rohdaten!K24,"–")</f>
        <v>10</v>
      </c>
      <c r="H24" s="8" t="n">
        <f aca="false">IFERROR(Rohdaten!C24*100/Rohdaten!L24,"–")</f>
        <v>4.08163265306123</v>
      </c>
      <c r="I24" s="9" t="str">
        <f aca="false">IFERROR(Rohdaten!C24*100/Rohdaten!M24,"–")</f>
        <v>–</v>
      </c>
      <c r="J24" s="8" t="str">
        <f aca="false">IFERROR(Rohdaten!C24*100/Rohdaten!N24,"–")</f>
        <v>–</v>
      </c>
      <c r="K24" s="9" t="n">
        <f aca="false">IFERROR(Rohdaten!C24*100/Rohdaten!O24,"–")</f>
        <v>100</v>
      </c>
      <c r="L24" s="8" t="n">
        <f aca="false">IFERROR(Rohdaten!C24*100/Rohdaten!P24,"–")</f>
        <v>666.666666666667</v>
      </c>
      <c r="M24" s="8" t="n">
        <f aca="false">IFERROR(Rohdaten!C24*100/Rohdaten!Q24,"–")</f>
        <v>500</v>
      </c>
      <c r="N24" s="8" t="n">
        <f aca="false">IFERROR(Rohdaten!C24*100/Rohdaten!R24,"–")</f>
        <v>66.6666666666667</v>
      </c>
      <c r="O24" s="8" t="n">
        <f aca="false">IFERROR(Rohdaten!C24*100/Rohdaten!S24,"–")</f>
        <v>285.714285714286</v>
      </c>
      <c r="P24" s="9" t="n">
        <f aca="false">IFERROR(Rohdaten!C24*100/Rohdaten!T24,"–")</f>
        <v>0.18348623853211</v>
      </c>
      <c r="Q24" s="9" t="str">
        <f aca="false">IFERROR(Rohdaten!C24*100/Rohdaten!U24,"–")</f>
        <v>–</v>
      </c>
      <c r="R24" s="8" t="n">
        <f aca="false">IFERROR(Rohdaten!C24*100/Rohdaten!V24,"–")</f>
        <v>1.25</v>
      </c>
      <c r="S24" s="8" t="n">
        <f aca="false">IFERROR(Rohdaten!C24*100/Rohdaten!W24,"–")</f>
        <v>25</v>
      </c>
      <c r="T24" s="8" t="n">
        <f aca="false">IFERROR(Rohdaten!C24*100/Rohdaten!X24,"–")</f>
        <v>0.869565217391304</v>
      </c>
      <c r="U24" s="8" t="n">
        <f aca="false">IFERROR(Rohdaten!C24*100/Rohdaten!Y24,"–")</f>
        <v>50</v>
      </c>
      <c r="V24" s="8" t="n">
        <f aca="false">IFERROR(Rohdaten!C24*100/Rohdaten!Z24,"–")</f>
        <v>0.0615384615384615</v>
      </c>
    </row>
    <row r="25" customFormat="false" ht="15" hidden="false" customHeight="true" outlineLevel="0" collapsed="false">
      <c r="A25" s="4" t="str">
        <f aca="false">Rohdaten!A25</f>
        <v>Rote Bete, Glas</v>
      </c>
      <c r="B25" s="8" t="n">
        <f aca="false">Rohdaten!C25</f>
        <v>1.3</v>
      </c>
      <c r="C25" s="8" t="n">
        <f aca="false">IFERROR(Rohdaten!C25*100/Rohdaten!G25,"–")</f>
        <v>3.71428571428571</v>
      </c>
      <c r="D25" s="8" t="n">
        <f aca="false">IFERROR(Rohdaten!C25*100/(Rohdaten!H25*9),"–")</f>
        <v>144.444444444444</v>
      </c>
      <c r="E25" s="8" t="n">
        <f aca="false">IFERROR(Rohdaten!C25*100/(Rohdaten!I25*4),"–")</f>
        <v>25</v>
      </c>
      <c r="F25" s="8" t="n">
        <f aca="false">IFERROR(Rohdaten!C25*100/(Rohdaten!J25*4),"–")</f>
        <v>4.64285714285714</v>
      </c>
      <c r="G25" s="9" t="n">
        <f aca="false">IFERROR(Rohdaten!C25*100/Rohdaten!K25,"–")</f>
        <v>130</v>
      </c>
      <c r="H25" s="8" t="n">
        <f aca="false">IFERROR(Rohdaten!C25*100/Rohdaten!L25,"–")</f>
        <v>43.3333333333333</v>
      </c>
      <c r="I25" s="9" t="str">
        <f aca="false">IFERROR(Rohdaten!C25*100/Rohdaten!M25,"–")</f>
        <v>–</v>
      </c>
      <c r="J25" s="8" t="str">
        <f aca="false">IFERROR(Rohdaten!C25*100/Rohdaten!N25,"–")</f>
        <v>–</v>
      </c>
      <c r="K25" s="9" t="n">
        <f aca="false">IFERROR(Rohdaten!C25*100/Rohdaten!O25,"–")</f>
        <v>650</v>
      </c>
      <c r="L25" s="8" t="n">
        <f aca="false">IFERROR(Rohdaten!C25*100/Rohdaten!P25,"–")</f>
        <v>6500</v>
      </c>
      <c r="M25" s="8" t="n">
        <f aca="false">IFERROR(Rohdaten!C25*100/Rohdaten!Q25,"–")</f>
        <v>4333.33333333333</v>
      </c>
      <c r="N25" s="8" t="n">
        <f aca="false">IFERROR(Rohdaten!C25*100/Rohdaten!R25,"–")</f>
        <v>650</v>
      </c>
      <c r="O25" s="8" t="n">
        <f aca="false">IFERROR(Rohdaten!C25*100/Rohdaten!S25,"–")</f>
        <v>2600</v>
      </c>
      <c r="P25" s="9" t="n">
        <f aca="false">IFERROR(Rohdaten!C25*100/Rohdaten!T25,"–")</f>
        <v>1.625</v>
      </c>
      <c r="Q25" s="9" t="str">
        <f aca="false">IFERROR(Rohdaten!C25*100/Rohdaten!U25,"–")</f>
        <v>–</v>
      </c>
      <c r="R25" s="8" t="n">
        <f aca="false">IFERROR(Rohdaten!C25*100/Rohdaten!V25,"–")</f>
        <v>10.8333333333333</v>
      </c>
      <c r="S25" s="8" t="n">
        <f aca="false">IFERROR(Rohdaten!C25*100/Rohdaten!W25,"–")</f>
        <v>216.666666666667</v>
      </c>
      <c r="T25" s="8" t="n">
        <f aca="false">IFERROR(Rohdaten!C25*100/Rohdaten!X25,"–")</f>
        <v>7.22222222222222</v>
      </c>
      <c r="U25" s="8" t="n">
        <f aca="false">IFERROR(Rohdaten!C25*100/Rohdaten!Y25,"–")</f>
        <v>433.333333333333</v>
      </c>
      <c r="V25" s="8" t="n">
        <f aca="false">IFERROR(Rohdaten!C25*100/Rohdaten!Z25,"–")</f>
        <v>0.52</v>
      </c>
    </row>
    <row r="26" customFormat="false" ht="15" hidden="false" customHeight="true" outlineLevel="0" collapsed="false">
      <c r="A26" s="4" t="str">
        <f aca="false">Rohdaten!A26</f>
        <v>Rotkohl, frisch</v>
      </c>
      <c r="B26" s="8" t="n">
        <f aca="false">Rohdaten!C26</f>
        <v>0.2</v>
      </c>
      <c r="C26" s="8" t="n">
        <f aca="false">IFERROR(Rohdaten!C26*100/Rohdaten!G26,"–")</f>
        <v>0.740740740740741</v>
      </c>
      <c r="D26" s="8" t="n">
        <f aca="false">IFERROR(Rohdaten!C26*100/(Rohdaten!H26*9),"–")</f>
        <v>11.1111111111111</v>
      </c>
      <c r="E26" s="8" t="n">
        <f aca="false">IFERROR(Rohdaten!C26*100/(Rohdaten!I26*4),"–")</f>
        <v>3.57142857142857</v>
      </c>
      <c r="F26" s="8" t="n">
        <f aca="false">IFERROR(Rohdaten!C26*100/(Rohdaten!J26*4),"–")</f>
        <v>1</v>
      </c>
      <c r="G26" s="9" t="n">
        <f aca="false">IFERROR(Rohdaten!C26*100/Rohdaten!K26,"–")</f>
        <v>6.66666666666667</v>
      </c>
      <c r="H26" s="8" t="n">
        <f aca="false">IFERROR(Rohdaten!C26*100/Rohdaten!L26,"–")</f>
        <v>0.512820512820513</v>
      </c>
      <c r="I26" s="9" t="str">
        <f aca="false">IFERROR(Rohdaten!C26*100/Rohdaten!M26,"–")</f>
        <v>–</v>
      </c>
      <c r="J26" s="8" t="n">
        <f aca="false">IFERROR(Rohdaten!C26*100/Rohdaten!N26,"–")</f>
        <v>200</v>
      </c>
      <c r="K26" s="9" t="n">
        <f aca="false">IFERROR(Rohdaten!C26*100/Rohdaten!O26,"–")</f>
        <v>0.625</v>
      </c>
      <c r="L26" s="8" t="n">
        <f aca="false">IFERROR(Rohdaten!C26*100/Rohdaten!P26,"–")</f>
        <v>400</v>
      </c>
      <c r="M26" s="8" t="n">
        <f aca="false">IFERROR(Rohdaten!C26*100/Rohdaten!Q26,"–")</f>
        <v>400</v>
      </c>
      <c r="N26" s="8" t="n">
        <f aca="false">IFERROR(Rohdaten!C26*100/Rohdaten!R26,"–")</f>
        <v>50</v>
      </c>
      <c r="O26" s="8" t="n">
        <f aca="false">IFERROR(Rohdaten!C26*100/Rohdaten!S26,"–")</f>
        <v>125</v>
      </c>
      <c r="P26" s="9" t="n">
        <f aca="false">IFERROR(Rohdaten!C26*100/Rohdaten!T26,"–")</f>
        <v>1.11111111111111</v>
      </c>
      <c r="Q26" s="9" t="str">
        <f aca="false">IFERROR(Rohdaten!C26*100/Rohdaten!U26,"–")</f>
        <v>–</v>
      </c>
      <c r="R26" s="8" t="n">
        <f aca="false">IFERROR(Rohdaten!C26*100/Rohdaten!V26,"–")</f>
        <v>0.476190476190476</v>
      </c>
      <c r="S26" s="8" t="n">
        <f aca="false">IFERROR(Rohdaten!C26*100/Rohdaten!W26,"–")</f>
        <v>33.3333333333333</v>
      </c>
      <c r="T26" s="8" t="n">
        <f aca="false">IFERROR(Rohdaten!C26*100/Rohdaten!X26,"–")</f>
        <v>1.53846153846154</v>
      </c>
      <c r="U26" s="8" t="n">
        <f aca="false">IFERROR(Rohdaten!C26*100/Rohdaten!Y26,"–")</f>
        <v>66.6666666666667</v>
      </c>
      <c r="V26" s="8" t="n">
        <f aca="false">IFERROR(Rohdaten!C26*100/Rohdaten!Z26,"–")</f>
        <v>0.0833333333333333</v>
      </c>
    </row>
    <row r="27" customFormat="false" ht="15" hidden="false" customHeight="true" outlineLevel="0" collapsed="false">
      <c r="A27" s="4" t="str">
        <f aca="false">Rohdaten!A27</f>
        <v>Rotkohl, Glas</v>
      </c>
      <c r="B27" s="8" t="n">
        <f aca="false">Rohdaten!C27</f>
        <v>0.7</v>
      </c>
      <c r="C27" s="8" t="n">
        <f aca="false">IFERROR(Rohdaten!C27*100/Rohdaten!G27,"–")</f>
        <v>2</v>
      </c>
      <c r="D27" s="8" t="n">
        <f aca="false">IFERROR(Rohdaten!C27*100/(Rohdaten!H27*9),"–")</f>
        <v>15.5555555555556</v>
      </c>
      <c r="E27" s="8" t="n">
        <f aca="false">IFERROR(Rohdaten!C27*100/(Rohdaten!I27*4),"–")</f>
        <v>17.5</v>
      </c>
      <c r="F27" s="8" t="n">
        <f aca="false">IFERROR(Rohdaten!C27*100/(Rohdaten!J27*4),"–")</f>
        <v>2.91666666666667</v>
      </c>
      <c r="G27" s="9" t="n">
        <f aca="false">IFERROR(Rohdaten!C27*100/Rohdaten!K27,"–")</f>
        <v>35</v>
      </c>
      <c r="H27" s="8" t="n">
        <f aca="false">IFERROR(Rohdaten!C27*100/Rohdaten!L27,"–")</f>
        <v>4.66666666666667</v>
      </c>
      <c r="I27" s="9" t="str">
        <f aca="false">IFERROR(Rohdaten!C27*100/Rohdaten!M27,"–")</f>
        <v>–</v>
      </c>
      <c r="J27" s="8" t="n">
        <f aca="false">IFERROR(Rohdaten!C27*100/Rohdaten!N27,"–")</f>
        <v>700</v>
      </c>
      <c r="K27" s="9" t="n">
        <f aca="false">IFERROR(Rohdaten!C27*100/Rohdaten!O27,"–")</f>
        <v>3.5</v>
      </c>
      <c r="L27" s="8" t="n">
        <f aca="false">IFERROR(Rohdaten!C27*100/Rohdaten!P27,"–")</f>
        <v>2333.33333333333</v>
      </c>
      <c r="M27" s="8" t="n">
        <f aca="false">IFERROR(Rohdaten!C27*100/Rohdaten!Q27,"–")</f>
        <v>2333.33333333333</v>
      </c>
      <c r="N27" s="8" t="n">
        <f aca="false">IFERROR(Rohdaten!C27*100/Rohdaten!R27,"–")</f>
        <v>233.333333333333</v>
      </c>
      <c r="O27" s="8" t="n">
        <f aca="false">IFERROR(Rohdaten!C27*100/Rohdaten!S27,"–")</f>
        <v>700</v>
      </c>
      <c r="P27" s="9" t="n">
        <f aca="false">IFERROR(Rohdaten!C27*100/Rohdaten!T27,"–")</f>
        <v>4.66666666666667</v>
      </c>
      <c r="Q27" s="9" t="str">
        <f aca="false">IFERROR(Rohdaten!C27*100/Rohdaten!U27,"–")</f>
        <v>–</v>
      </c>
      <c r="R27" s="8" t="n">
        <f aca="false">IFERROR(Rohdaten!C27*100/Rohdaten!V27,"–")</f>
        <v>2.33333333333333</v>
      </c>
      <c r="S27" s="8" t="n">
        <f aca="false">IFERROR(Rohdaten!C27*100/Rohdaten!W27,"–")</f>
        <v>140</v>
      </c>
      <c r="T27" s="8" t="n">
        <f aca="false">IFERROR(Rohdaten!C27*100/Rohdaten!X27,"–")</f>
        <v>7</v>
      </c>
      <c r="U27" s="8" t="n">
        <f aca="false">IFERROR(Rohdaten!C27*100/Rohdaten!Y27,"–")</f>
        <v>350</v>
      </c>
      <c r="V27" s="8" t="n">
        <f aca="false">IFERROR(Rohdaten!C27*100/Rohdaten!Z27,"–")</f>
        <v>0.388888888888889</v>
      </c>
    </row>
    <row r="28" customFormat="false" ht="15" hidden="false" customHeight="true" outlineLevel="0" collapsed="false">
      <c r="A28" s="4" t="str">
        <f aca="false">Rohdaten!A28</f>
        <v>Rucola</v>
      </c>
      <c r="B28" s="8" t="n">
        <f aca="false">Rohdaten!C28</f>
        <v>0.3</v>
      </c>
      <c r="C28" s="8" t="n">
        <f aca="false">IFERROR(Rohdaten!C28*100/Rohdaten!G28,"–")</f>
        <v>1.2</v>
      </c>
      <c r="D28" s="8" t="n">
        <f aca="false">IFERROR(Rohdaten!C28*100/(Rohdaten!H28*9),"–")</f>
        <v>4.76190476190476</v>
      </c>
      <c r="E28" s="8" t="n">
        <f aca="false">IFERROR(Rohdaten!C28*100/(Rohdaten!I28*4),"–")</f>
        <v>2.88461538461538</v>
      </c>
      <c r="F28" s="8" t="n">
        <f aca="false">IFERROR(Rohdaten!C28*100/(Rohdaten!J28*4),"–")</f>
        <v>3.75</v>
      </c>
      <c r="G28" s="9" t="n">
        <f aca="false">IFERROR(Rohdaten!C28*100/Rohdaten!K28,"–")</f>
        <v>0.252100840336134</v>
      </c>
      <c r="H28" s="8" t="n">
        <f aca="false">IFERROR(Rohdaten!C28*100/Rohdaten!L28,"–")</f>
        <v>2</v>
      </c>
      <c r="I28" s="9" t="str">
        <f aca="false">IFERROR(Rohdaten!C28*100/Rohdaten!M28,"–")</f>
        <v>–</v>
      </c>
      <c r="J28" s="8" t="n">
        <f aca="false">IFERROR(Rohdaten!C28*100/Rohdaten!N28,"–")</f>
        <v>75</v>
      </c>
      <c r="K28" s="9" t="n">
        <f aca="false">IFERROR(Rohdaten!C28*100/Rohdaten!O28,"–")</f>
        <v>0.275229357798165</v>
      </c>
      <c r="L28" s="8" t="n">
        <f aca="false">IFERROR(Rohdaten!C28*100/Rohdaten!P28,"–")</f>
        <v>750</v>
      </c>
      <c r="M28" s="8" t="n">
        <f aca="false">IFERROR(Rohdaten!C28*100/Rohdaten!Q28,"–")</f>
        <v>333.333333333333</v>
      </c>
      <c r="N28" s="8" t="n">
        <f aca="false">IFERROR(Rohdaten!C28*100/Rohdaten!R28,"–")</f>
        <v>100</v>
      </c>
      <c r="O28" s="8" t="n">
        <f aca="false">IFERROR(Rohdaten!C28*100/Rohdaten!S28,"–")</f>
        <v>428.571428571429</v>
      </c>
      <c r="P28" s="9" t="n">
        <f aca="false">IFERROR(Rohdaten!C28*100/Rohdaten!T28,"–")</f>
        <v>0.309278350515464</v>
      </c>
      <c r="Q28" s="9" t="str">
        <f aca="false">IFERROR(Rohdaten!C28*100/Rohdaten!U28,"–")</f>
        <v>–</v>
      </c>
      <c r="R28" s="8" t="n">
        <f aca="false">IFERROR(Rohdaten!C28*100/Rohdaten!V28,"–")</f>
        <v>0.1875</v>
      </c>
      <c r="S28" s="8" t="n">
        <f aca="false">IFERROR(Rohdaten!C28*100/Rohdaten!W28,"–")</f>
        <v>20</v>
      </c>
      <c r="T28" s="8" t="n">
        <f aca="false">IFERROR(Rohdaten!C28*100/Rohdaten!X28,"–")</f>
        <v>0.638297872340426</v>
      </c>
      <c r="U28" s="8" t="n">
        <f aca="false">IFERROR(Rohdaten!C28*100/Rohdaten!Y28,"–")</f>
        <v>60</v>
      </c>
      <c r="V28" s="8" t="n">
        <f aca="false">IFERROR(Rohdaten!C28*100/Rohdaten!Z28,"–")</f>
        <v>0.0810810810810811</v>
      </c>
    </row>
    <row r="29" customFormat="false" ht="15" hidden="false" customHeight="true" outlineLevel="0" collapsed="false">
      <c r="A29" s="4" t="str">
        <f aca="false">Rohdaten!A29</f>
        <v>Salatgurke</v>
      </c>
      <c r="B29" s="8" t="n">
        <f aca="false">Rohdaten!C29</f>
        <v>0.4</v>
      </c>
      <c r="C29" s="8" t="n">
        <f aca="false">IFERROR(Rohdaten!C29*100/Rohdaten!G29,"–")</f>
        <v>3.33333333333333</v>
      </c>
      <c r="D29" s="8" t="n">
        <f aca="false">IFERROR(Rohdaten!C29*100/(Rohdaten!H29*9),"–")</f>
        <v>44.4444444444444</v>
      </c>
      <c r="E29" s="8" t="n">
        <f aca="false">IFERROR(Rohdaten!C29*100/(Rohdaten!I29*4),"–")</f>
        <v>16.6666666666667</v>
      </c>
      <c r="F29" s="8" t="n">
        <f aca="false">IFERROR(Rohdaten!C29*100/(Rohdaten!J29*4),"–")</f>
        <v>3.33333333333333</v>
      </c>
      <c r="G29" s="9" t="n">
        <f aca="false">IFERROR(Rohdaten!C29*100/Rohdaten!K29,"–")</f>
        <v>8</v>
      </c>
      <c r="H29" s="8" t="n">
        <f aca="false">IFERROR(Rohdaten!C29*100/Rohdaten!L29,"–")</f>
        <v>13.3333333333333</v>
      </c>
      <c r="I29" s="9" t="str">
        <f aca="false">IFERROR(Rohdaten!C29*100/Rohdaten!M29,"–")</f>
        <v>–</v>
      </c>
      <c r="J29" s="8" t="str">
        <f aca="false">IFERROR(Rohdaten!C29*100/Rohdaten!N29,"–")</f>
        <v>–</v>
      </c>
      <c r="K29" s="9" t="n">
        <f aca="false">IFERROR(Rohdaten!C29*100/Rohdaten!O29,"–")</f>
        <v>2.5</v>
      </c>
      <c r="L29" s="8" t="n">
        <f aca="false">IFERROR(Rohdaten!C29*100/Rohdaten!P29,"–")</f>
        <v>2000</v>
      </c>
      <c r="M29" s="8" t="n">
        <f aca="false">IFERROR(Rohdaten!C29*100/Rohdaten!Q29,"–")</f>
        <v>2000</v>
      </c>
      <c r="N29" s="8" t="n">
        <f aca="false">IFERROR(Rohdaten!C29*100/Rohdaten!R29,"–")</f>
        <v>200</v>
      </c>
      <c r="O29" s="8" t="n">
        <f aca="false">IFERROR(Rohdaten!C29*100/Rohdaten!S29,"–")</f>
        <v>1333.33333333333</v>
      </c>
      <c r="P29" s="9" t="n">
        <f aca="false">IFERROR(Rohdaten!C29*100/Rohdaten!T29,"–")</f>
        <v>3.07692307692308</v>
      </c>
      <c r="Q29" s="9" t="str">
        <f aca="false">IFERROR(Rohdaten!C29*100/Rohdaten!U29,"–")</f>
        <v>–</v>
      </c>
      <c r="R29" s="8" t="n">
        <f aca="false">IFERROR(Rohdaten!C29*100/Rohdaten!V29,"–")</f>
        <v>2.5</v>
      </c>
      <c r="S29" s="8" t="n">
        <f aca="false">IFERROR(Rohdaten!C29*100/Rohdaten!W29,"–")</f>
        <v>133.333333333333</v>
      </c>
      <c r="T29" s="8" t="n">
        <f aca="false">IFERROR(Rohdaten!C29*100/Rohdaten!X29,"–")</f>
        <v>3.07692307692308</v>
      </c>
      <c r="U29" s="8" t="n">
        <f aca="false">IFERROR(Rohdaten!C29*100/Rohdaten!Y29,"–")</f>
        <v>200</v>
      </c>
      <c r="V29" s="8" t="n">
        <f aca="false">IFERROR(Rohdaten!C29*100/Rohdaten!Z29,"–")</f>
        <v>0.266666666666667</v>
      </c>
    </row>
    <row r="30" customFormat="false" ht="15" hidden="false" customHeight="true" outlineLevel="0" collapsed="false">
      <c r="A30" s="4" t="str">
        <f aca="false">Rohdaten!A30</f>
        <v>Salatmischung, gewaschen</v>
      </c>
      <c r="B30" s="8" t="n">
        <f aca="false">Rohdaten!C30</f>
        <v>0.4</v>
      </c>
      <c r="C30" s="8" t="n">
        <f aca="false">IFERROR(Rohdaten!C30*100/Rohdaten!G30,"–")</f>
        <v>2.5</v>
      </c>
      <c r="D30" s="8" t="n">
        <f aca="false">IFERROR(Rohdaten!C30*100/(Rohdaten!H30*9),"–")</f>
        <v>22.2222222222222</v>
      </c>
      <c r="E30" s="8" t="n">
        <f aca="false">IFERROR(Rohdaten!C30*100/(Rohdaten!I30*4),"–")</f>
        <v>8.33333333333333</v>
      </c>
      <c r="F30" s="8" t="n">
        <f aca="false">IFERROR(Rohdaten!C30*100/(Rohdaten!J30*4),"–")</f>
        <v>5</v>
      </c>
      <c r="G30" s="9" t="n">
        <f aca="false">IFERROR(Rohdaten!C30*100/Rohdaten!K30,"–")</f>
        <v>0.266666666666667</v>
      </c>
      <c r="H30" s="8" t="n">
        <f aca="false">IFERROR(Rohdaten!C30*100/Rohdaten!L30,"–")</f>
        <v>4</v>
      </c>
      <c r="I30" s="9" t="str">
        <f aca="false">IFERROR(Rohdaten!C30*100/Rohdaten!M30,"–")</f>
        <v>–</v>
      </c>
      <c r="J30" s="8" t="n">
        <f aca="false">IFERROR(Rohdaten!C30*100/Rohdaten!N30,"–")</f>
        <v>133.333333333333</v>
      </c>
      <c r="K30" s="9" t="n">
        <f aca="false">IFERROR(Rohdaten!C30*100/Rohdaten!O30,"–")</f>
        <v>0.333333333333333</v>
      </c>
      <c r="L30" s="8" t="n">
        <f aca="false">IFERROR(Rohdaten!C30*100/Rohdaten!P30,"–")</f>
        <v>1000</v>
      </c>
      <c r="M30" s="8" t="n">
        <f aca="false">IFERROR(Rohdaten!C30*100/Rohdaten!Q30,"–")</f>
        <v>666.666666666667</v>
      </c>
      <c r="N30" s="8" t="n">
        <f aca="false">IFERROR(Rohdaten!C30*100/Rohdaten!R30,"–")</f>
        <v>133.333333333333</v>
      </c>
      <c r="O30" s="8" t="n">
        <f aca="false">IFERROR(Rohdaten!C30*100/Rohdaten!S30,"–")</f>
        <v>666.666666666667</v>
      </c>
      <c r="P30" s="9" t="n">
        <f aca="false">IFERROR(Rohdaten!C30*100/Rohdaten!T30,"–")</f>
        <v>0.8</v>
      </c>
      <c r="Q30" s="9" t="str">
        <f aca="false">IFERROR(Rohdaten!C30*100/Rohdaten!U30,"–")</f>
        <v>–</v>
      </c>
      <c r="R30" s="8" t="n">
        <f aca="false">IFERROR(Rohdaten!C30*100/Rohdaten!V30,"–")</f>
        <v>1.14285714285714</v>
      </c>
      <c r="S30" s="8" t="n">
        <f aca="false">IFERROR(Rohdaten!C30*100/Rohdaten!W30,"–")</f>
        <v>50</v>
      </c>
      <c r="T30" s="8" t="n">
        <f aca="false">IFERROR(Rohdaten!C30*100/Rohdaten!X30,"–")</f>
        <v>2.66666666666667</v>
      </c>
      <c r="U30" s="8" t="n">
        <f aca="false">IFERROR(Rohdaten!C30*100/Rohdaten!Y30,"–")</f>
        <v>200</v>
      </c>
      <c r="V30" s="8" t="n">
        <f aca="false">IFERROR(Rohdaten!C30*100/Rohdaten!Z30,"–")</f>
        <v>0.2</v>
      </c>
    </row>
    <row r="31" customFormat="false" ht="15" hidden="false" customHeight="true" outlineLevel="0" collapsed="false">
      <c r="A31" s="4" t="str">
        <f aca="false">Rohdaten!A31</f>
        <v>Sellerie</v>
      </c>
      <c r="B31" s="8" t="n">
        <f aca="false">Rohdaten!C31</f>
        <v>0.2</v>
      </c>
      <c r="C31" s="8" t="n">
        <f aca="false">IFERROR(Rohdaten!C31*100/Rohdaten!G31,"–")</f>
        <v>1.25</v>
      </c>
      <c r="D31" s="8" t="n">
        <f aca="false">IFERROR(Rohdaten!C31*100/(Rohdaten!H31*9),"–")</f>
        <v>11.1111111111111</v>
      </c>
      <c r="E31" s="8" t="n">
        <f aca="false">IFERROR(Rohdaten!C31*100/(Rohdaten!I31*4),"–")</f>
        <v>7.14285714285714</v>
      </c>
      <c r="F31" s="8" t="n">
        <f aca="false">IFERROR(Rohdaten!C31*100/(Rohdaten!J31*4),"–")</f>
        <v>1.66666666666667</v>
      </c>
      <c r="G31" s="9" t="n">
        <f aca="false">IFERROR(Rohdaten!C31*100/Rohdaten!K31,"–")</f>
        <v>5</v>
      </c>
      <c r="H31" s="8" t="n">
        <f aca="false">IFERROR(Rohdaten!C31*100/Rohdaten!L31,"–")</f>
        <v>6.66666666666667</v>
      </c>
      <c r="I31" s="9" t="str">
        <f aca="false">IFERROR(Rohdaten!C31*100/Rohdaten!M31,"–")</f>
        <v>–</v>
      </c>
      <c r="J31" s="8" t="n">
        <f aca="false">IFERROR(Rohdaten!C31*100/Rohdaten!N31,"–")</f>
        <v>66.6666666666667</v>
      </c>
      <c r="K31" s="9" t="n">
        <f aca="false">IFERROR(Rohdaten!C31*100/Rohdaten!O31,"–")</f>
        <v>0.689655172413793</v>
      </c>
      <c r="L31" s="8" t="n">
        <f aca="false">IFERROR(Rohdaten!C31*100/Rohdaten!P31,"–")</f>
        <v>666.666666666667</v>
      </c>
      <c r="M31" s="8" t="n">
        <f aca="false">IFERROR(Rohdaten!C31*100/Rohdaten!Q31,"–")</f>
        <v>666.666666666667</v>
      </c>
      <c r="N31" s="8" t="n">
        <f aca="false">IFERROR(Rohdaten!C31*100/Rohdaten!R31,"–")</f>
        <v>66.6666666666667</v>
      </c>
      <c r="O31" s="8" t="n">
        <f aca="false">IFERROR(Rohdaten!C31*100/Rohdaten!S31,"–")</f>
        <v>285.714285714286</v>
      </c>
      <c r="P31" s="9" t="n">
        <f aca="false">IFERROR(Rohdaten!C31*100/Rohdaten!T31,"–")</f>
        <v>0.555555555555556</v>
      </c>
      <c r="Q31" s="9" t="str">
        <f aca="false">IFERROR(Rohdaten!C31*100/Rohdaten!U31,"–")</f>
        <v>–</v>
      </c>
      <c r="R31" s="8" t="n">
        <f aca="false">IFERROR(Rohdaten!C31*100/Rohdaten!V31,"–")</f>
        <v>0.5</v>
      </c>
      <c r="S31" s="8" t="n">
        <f aca="false">IFERROR(Rohdaten!C31*100/Rohdaten!W31,"–")</f>
        <v>50</v>
      </c>
      <c r="T31" s="8" t="n">
        <f aca="false">IFERROR(Rohdaten!C31*100/Rohdaten!X31,"–")</f>
        <v>1.81818181818182</v>
      </c>
      <c r="U31" s="8" t="n">
        <f aca="false">IFERROR(Rohdaten!C31*100/Rohdaten!Y31,"–")</f>
        <v>200</v>
      </c>
      <c r="V31" s="8" t="n">
        <f aca="false">IFERROR(Rohdaten!C31*100/Rohdaten!Z31,"–")</f>
        <v>0.0769230769230769</v>
      </c>
    </row>
    <row r="32" customFormat="false" ht="15" hidden="false" customHeight="true" outlineLevel="0" collapsed="false">
      <c r="A32" s="4" t="str">
        <f aca="false">Rohdaten!A32</f>
        <v>Spargel</v>
      </c>
      <c r="B32" s="8" t="n">
        <f aca="false">Rohdaten!C32</f>
        <v>0.7</v>
      </c>
      <c r="C32" s="8" t="n">
        <f aca="false">IFERROR(Rohdaten!C32*100/Rohdaten!G32,"–")</f>
        <v>3.5</v>
      </c>
      <c r="D32" s="8" t="n">
        <f aca="false">IFERROR(Rohdaten!C32*100/(Rohdaten!H32*9),"–")</f>
        <v>77.7777777777778</v>
      </c>
      <c r="E32" s="8" t="n">
        <f aca="false">IFERROR(Rohdaten!C32*100/(Rohdaten!I32*4),"–")</f>
        <v>7.95454545454545</v>
      </c>
      <c r="F32" s="8" t="n">
        <f aca="false">IFERROR(Rohdaten!C32*100/(Rohdaten!J32*4),"–")</f>
        <v>4.375</v>
      </c>
      <c r="G32" s="9" t="n">
        <f aca="false">IFERROR(Rohdaten!C32*100/Rohdaten!K32,"–")</f>
        <v>1.84210526315789</v>
      </c>
      <c r="H32" s="8" t="n">
        <f aca="false">IFERROR(Rohdaten!C32*100/Rohdaten!L32,"–")</f>
        <v>12.5</v>
      </c>
      <c r="I32" s="9" t="str">
        <f aca="false">IFERROR(Rohdaten!C32*100/Rohdaten!M32,"–")</f>
        <v>–</v>
      </c>
      <c r="J32" s="8" t="n">
        <f aca="false">IFERROR(Rohdaten!C32*100/Rohdaten!N32,"–")</f>
        <v>63.6363636363636</v>
      </c>
      <c r="K32" s="9" t="n">
        <f aca="false">IFERROR(Rohdaten!C32*100/Rohdaten!O32,"–")</f>
        <v>1.68269230769231</v>
      </c>
      <c r="L32" s="8" t="n">
        <f aca="false">IFERROR(Rohdaten!C32*100/Rohdaten!P32,"–")</f>
        <v>500</v>
      </c>
      <c r="M32" s="8" t="n">
        <f aca="false">IFERROR(Rohdaten!C32*100/Rohdaten!Q32,"–")</f>
        <v>500</v>
      </c>
      <c r="N32" s="8" t="n">
        <f aca="false">IFERROR(Rohdaten!C32*100/Rohdaten!R32,"–")</f>
        <v>70</v>
      </c>
      <c r="O32" s="8" t="n">
        <f aca="false">IFERROR(Rohdaten!C32*100/Rohdaten!S32,"–")</f>
        <v>777.777777777778</v>
      </c>
      <c r="P32" s="9" t="n">
        <f aca="false">IFERROR(Rohdaten!C32*100/Rohdaten!T32,"–")</f>
        <v>1.34615384615385</v>
      </c>
      <c r="Q32" s="9" t="str">
        <f aca="false">IFERROR(Rohdaten!C32*100/Rohdaten!U32,"–")</f>
        <v>–</v>
      </c>
      <c r="R32" s="8" t="n">
        <f aca="false">IFERROR(Rohdaten!C32*100/Rohdaten!V32,"–")</f>
        <v>2.91666666666667</v>
      </c>
      <c r="S32" s="8" t="n">
        <f aca="false">IFERROR(Rohdaten!C32*100/Rohdaten!W32,"–")</f>
        <v>33.3333333333333</v>
      </c>
      <c r="T32" s="8" t="n">
        <f aca="false">IFERROR(Rohdaten!C32*100/Rohdaten!X32,"–")</f>
        <v>5</v>
      </c>
      <c r="U32" s="8" t="n">
        <f aca="false">IFERROR(Rohdaten!C32*100/Rohdaten!Y32,"–")</f>
        <v>140</v>
      </c>
      <c r="V32" s="8" t="n">
        <f aca="false">IFERROR(Rohdaten!C32*100/Rohdaten!Z32,"–")</f>
        <v>0.346534653465347</v>
      </c>
    </row>
    <row r="33" customFormat="false" ht="15" hidden="false" customHeight="true" outlineLevel="0" collapsed="false">
      <c r="A33" s="4" t="str">
        <f aca="false">Rohdaten!A33</f>
        <v>Spinat, frisch</v>
      </c>
      <c r="B33" s="8" t="n">
        <f aca="false">Rohdaten!C33</f>
        <v>0.2</v>
      </c>
      <c r="C33" s="8" t="n">
        <f aca="false">IFERROR(Rohdaten!C33*100/Rohdaten!G33,"–")</f>
        <v>0.869565217391304</v>
      </c>
      <c r="D33" s="8" t="n">
        <f aca="false">IFERROR(Rohdaten!C33*100/(Rohdaten!H33*9),"–")</f>
        <v>5.55555555555556</v>
      </c>
      <c r="E33" s="8" t="n">
        <f aca="false">IFERROR(Rohdaten!C33*100/(Rohdaten!I33*4),"–")</f>
        <v>1.72413793103448</v>
      </c>
      <c r="F33" s="8" t="n">
        <f aca="false">IFERROR(Rohdaten!C33*100/(Rohdaten!J33*4),"–")</f>
        <v>1.38888888888889</v>
      </c>
      <c r="G33" s="9" t="n">
        <f aca="false">IFERROR(Rohdaten!C33*100/Rohdaten!K33,"–")</f>
        <v>0.0426439232409382</v>
      </c>
      <c r="H33" s="8" t="n">
        <f aca="false">IFERROR(Rohdaten!C33*100/Rohdaten!L33,"–")</f>
        <v>0.714285714285714</v>
      </c>
      <c r="I33" s="9" t="str">
        <f aca="false">IFERROR(Rohdaten!C33*100/Rohdaten!M33,"–")</f>
        <v>–</v>
      </c>
      <c r="J33" s="8" t="n">
        <f aca="false">IFERROR(Rohdaten!C33*100/Rohdaten!N33,"–")</f>
        <v>10</v>
      </c>
      <c r="K33" s="9" t="n">
        <f aca="false">IFERROR(Rohdaten!C33*100/Rohdaten!O33,"–")</f>
        <v>0.041407867494824</v>
      </c>
      <c r="L33" s="8" t="n">
        <f aca="false">IFERROR(Rohdaten!C33*100/Rohdaten!P33,"–")</f>
        <v>250</v>
      </c>
      <c r="M33" s="8" t="n">
        <f aca="false">IFERROR(Rohdaten!C33*100/Rohdaten!Q33,"–")</f>
        <v>105.263157894737</v>
      </c>
      <c r="N33" s="8" t="n">
        <f aca="false">IFERROR(Rohdaten!C33*100/Rohdaten!R33,"–")</f>
        <v>28.5714285714286</v>
      </c>
      <c r="O33" s="8" t="n">
        <f aca="false">IFERROR(Rohdaten!C33*100/Rohdaten!S33,"–")</f>
        <v>100</v>
      </c>
      <c r="P33" s="9" t="n">
        <f aca="false">IFERROR(Rohdaten!C33*100/Rohdaten!T33,"–")</f>
        <v>0.103092783505155</v>
      </c>
      <c r="Q33" s="9" t="str">
        <f aca="false">IFERROR(Rohdaten!C33*100/Rohdaten!U33,"–")</f>
        <v>–</v>
      </c>
      <c r="R33" s="8" t="n">
        <f aca="false">IFERROR(Rohdaten!C33*100/Rohdaten!V33,"–")</f>
        <v>0.202020202020202</v>
      </c>
      <c r="S33" s="8" t="n">
        <f aca="false">IFERROR(Rohdaten!C33*100/Rohdaten!W33,"–")</f>
        <v>7.40740740740741</v>
      </c>
      <c r="T33" s="8" t="n">
        <f aca="false">IFERROR(Rohdaten!C33*100/Rohdaten!X33,"–")</f>
        <v>0.253164556962025</v>
      </c>
      <c r="U33" s="8" t="n">
        <f aca="false">IFERROR(Rohdaten!C33*100/Rohdaten!Y33,"–")</f>
        <v>40</v>
      </c>
      <c r="V33" s="8" t="n">
        <f aca="false">IFERROR(Rohdaten!C33*100/Rohdaten!Z33,"–")</f>
        <v>0.03584229390681</v>
      </c>
    </row>
    <row r="34" customFormat="false" ht="15" hidden="false" customHeight="true" outlineLevel="0" collapsed="false">
      <c r="A34" s="4" t="str">
        <f aca="false">Rohdaten!A34</f>
        <v>Spinat, gefroren</v>
      </c>
      <c r="B34" s="8" t="n">
        <f aca="false">Rohdaten!C34</f>
        <v>0.6</v>
      </c>
      <c r="C34" s="8" t="n">
        <f aca="false">IFERROR(Rohdaten!C34*100/Rohdaten!G34,"–")</f>
        <v>3</v>
      </c>
      <c r="D34" s="8" t="n">
        <f aca="false">IFERROR(Rohdaten!C34*100/(Rohdaten!H34*9),"–")</f>
        <v>22.2222222222222</v>
      </c>
      <c r="E34" s="8" t="n">
        <f aca="false">IFERROR(Rohdaten!C34*100/(Rohdaten!I34*4),"–")</f>
        <v>6</v>
      </c>
      <c r="F34" s="8" t="n">
        <f aca="false">IFERROR(Rohdaten!C34*100/(Rohdaten!J34*4),"–")</f>
        <v>6</v>
      </c>
      <c r="G34" s="9" t="n">
        <f aca="false">IFERROR(Rohdaten!C34*100/Rohdaten!K34,"–")</f>
        <v>0.15</v>
      </c>
      <c r="H34" s="8" t="n">
        <f aca="false">IFERROR(Rohdaten!C34*100/Rohdaten!L34,"–")</f>
        <v>4</v>
      </c>
      <c r="I34" s="9" t="str">
        <f aca="false">IFERROR(Rohdaten!C34*100/Rohdaten!M34,"–")</f>
        <v>–</v>
      </c>
      <c r="J34" s="8" t="n">
        <f aca="false">IFERROR(Rohdaten!C34*100/Rohdaten!N34,"–")</f>
        <v>40</v>
      </c>
      <c r="K34" s="9" t="n">
        <f aca="false">IFERROR(Rohdaten!C34*100/Rohdaten!O34,"–")</f>
        <v>0.15</v>
      </c>
      <c r="L34" s="8" t="n">
        <f aca="false">IFERROR(Rohdaten!C34*100/Rohdaten!P34,"–")</f>
        <v>1200</v>
      </c>
      <c r="M34" s="8" t="n">
        <f aca="false">IFERROR(Rohdaten!C34*100/Rohdaten!Q34,"–")</f>
        <v>500</v>
      </c>
      <c r="N34" s="8" t="n">
        <f aca="false">IFERROR(Rohdaten!C34*100/Rohdaten!R34,"–")</f>
        <v>120</v>
      </c>
      <c r="O34" s="8" t="n">
        <f aca="false">IFERROR(Rohdaten!C34*100/Rohdaten!S34,"–")</f>
        <v>400</v>
      </c>
      <c r="P34" s="9" t="n">
        <f aca="false">IFERROR(Rohdaten!C34*100/Rohdaten!T34,"–")</f>
        <v>0.4</v>
      </c>
      <c r="Q34" s="9" t="str">
        <f aca="false">IFERROR(Rohdaten!C34*100/Rohdaten!U34,"–")</f>
        <v>–</v>
      </c>
      <c r="R34" s="8" t="n">
        <f aca="false">IFERROR(Rohdaten!C34*100/Rohdaten!V34,"–")</f>
        <v>0.666666666666667</v>
      </c>
      <c r="S34" s="8" t="n">
        <f aca="false">IFERROR(Rohdaten!C34*100/Rohdaten!W34,"–")</f>
        <v>30</v>
      </c>
      <c r="T34" s="8" t="n">
        <f aca="false">IFERROR(Rohdaten!C34*100/Rohdaten!X34,"–")</f>
        <v>1</v>
      </c>
      <c r="U34" s="8" t="n">
        <f aca="false">IFERROR(Rohdaten!C34*100/Rohdaten!Y34,"–")</f>
        <v>150</v>
      </c>
      <c r="V34" s="8" t="n">
        <f aca="false">IFERROR(Rohdaten!C34*100/Rohdaten!Z34,"–")</f>
        <v>0.133333333333333</v>
      </c>
    </row>
    <row r="35" customFormat="false" ht="15" hidden="false" customHeight="true" outlineLevel="0" collapsed="false">
      <c r="A35" s="4" t="str">
        <f aca="false">Rohdaten!A35</f>
        <v>Zucchini</v>
      </c>
      <c r="B35" s="8" t="n">
        <f aca="false">Rohdaten!C35</f>
        <v>0.2</v>
      </c>
      <c r="C35" s="8" t="n">
        <f aca="false">IFERROR(Rohdaten!C35*100/Rohdaten!G35,"–")</f>
        <v>1.17647058823529</v>
      </c>
      <c r="D35" s="8" t="n">
        <f aca="false">IFERROR(Rohdaten!C35*100/(Rohdaten!H35*9),"–")</f>
        <v>7.40740740740741</v>
      </c>
      <c r="E35" s="8" t="n">
        <f aca="false">IFERROR(Rohdaten!C35*100/(Rohdaten!I35*4),"–")</f>
        <v>4.16666666666667</v>
      </c>
      <c r="F35" s="8" t="n">
        <f aca="false">IFERROR(Rohdaten!C35*100/(Rohdaten!J35*4),"–")</f>
        <v>1.66666666666667</v>
      </c>
      <c r="G35" s="9" t="n">
        <f aca="false">IFERROR(Rohdaten!C35*100/Rohdaten!K35,"–")</f>
        <v>2</v>
      </c>
      <c r="H35" s="8" t="n">
        <f aca="false">IFERROR(Rohdaten!C35*100/Rohdaten!L35,"–")</f>
        <v>1.11111111111111</v>
      </c>
      <c r="I35" s="9" t="str">
        <f aca="false">IFERROR(Rohdaten!C35*100/Rohdaten!M35,"–")</f>
        <v>–</v>
      </c>
      <c r="J35" s="8" t="n">
        <f aca="false">IFERROR(Rohdaten!C35*100/Rohdaten!N35,"–")</f>
        <v>200</v>
      </c>
      <c r="K35" s="9" t="n">
        <f aca="false">IFERROR(Rohdaten!C35*100/Rohdaten!O35,"–")</f>
        <v>4.65116279069768</v>
      </c>
      <c r="L35" s="8" t="n">
        <f aca="false">IFERROR(Rohdaten!C35*100/Rohdaten!P35,"–")</f>
        <v>400</v>
      </c>
      <c r="M35" s="8" t="n">
        <f aca="false">IFERROR(Rohdaten!C35*100/Rohdaten!Q35,"–")</f>
        <v>222.222222222222</v>
      </c>
      <c r="N35" s="8" t="n">
        <f aca="false">IFERROR(Rohdaten!C35*100/Rohdaten!R35,"–")</f>
        <v>40</v>
      </c>
      <c r="O35" s="8" t="n">
        <f aca="false">IFERROR(Rohdaten!C35*100/Rohdaten!S35,"–")</f>
        <v>90.9090909090909</v>
      </c>
      <c r="P35" s="9" t="n">
        <f aca="false">IFERROR(Rohdaten!C35*100/Rohdaten!T35,"–")</f>
        <v>0.833333333333333</v>
      </c>
      <c r="Q35" s="9" t="str">
        <f aca="false">IFERROR(Rohdaten!C35*100/Rohdaten!U35,"–")</f>
        <v>–</v>
      </c>
      <c r="R35" s="8" t="n">
        <f aca="false">IFERROR(Rohdaten!C35*100/Rohdaten!V35,"–")</f>
        <v>1.25</v>
      </c>
      <c r="S35" s="8" t="n">
        <f aca="false">IFERROR(Rohdaten!C35*100/Rohdaten!W35,"–")</f>
        <v>50</v>
      </c>
      <c r="T35" s="8" t="n">
        <f aca="false">IFERROR(Rohdaten!C35*100/Rohdaten!X35,"–")</f>
        <v>1.11111111111111</v>
      </c>
      <c r="U35" s="8" t="n">
        <f aca="false">IFERROR(Rohdaten!C35*100/Rohdaten!Y35,"–")</f>
        <v>66.6666666666667</v>
      </c>
      <c r="V35" s="8" t="n">
        <f aca="false">IFERROR(Rohdaten!C35*100/Rohdaten!Z35,"–")</f>
        <v>0.0769230769230769</v>
      </c>
    </row>
    <row r="36" customFormat="false" ht="15" hidden="false" customHeight="true" outlineLevel="0" collapsed="false">
      <c r="A36" s="4" t="str">
        <f aca="false">Rohdaten!A36</f>
        <v>Zwiebeln, frisch</v>
      </c>
      <c r="B36" s="8" t="n">
        <f aca="false">Rohdaten!C36</f>
        <v>0.2</v>
      </c>
      <c r="C36" s="8" t="n">
        <f aca="false">IFERROR(Rohdaten!C36*100/Rohdaten!G36,"–")</f>
        <v>0.5</v>
      </c>
      <c r="D36" s="8" t="n">
        <f aca="false">IFERROR(Rohdaten!C36*100/(Rohdaten!H36*9),"–")</f>
        <v>22.2222222222222</v>
      </c>
      <c r="E36" s="8" t="n">
        <f aca="false">IFERROR(Rohdaten!C36*100/(Rohdaten!I36*4),"–")</f>
        <v>4.54545454545455</v>
      </c>
      <c r="F36" s="8" t="n">
        <f aca="false">IFERROR(Rohdaten!C36*100/(Rohdaten!J36*4),"–")</f>
        <v>0.555555555555556</v>
      </c>
      <c r="G36" s="9" t="str">
        <f aca="false">IFERROR(Rohdaten!C36*100/Rohdaten!K36,"–")</f>
        <v>–</v>
      </c>
      <c r="H36" s="8" t="n">
        <f aca="false">IFERROR(Rohdaten!C36*100/Rohdaten!L36,"–")</f>
        <v>2.85714285714286</v>
      </c>
      <c r="I36" s="9" t="str">
        <f aca="false">IFERROR(Rohdaten!C36*100/Rohdaten!M36,"–")</f>
        <v>–</v>
      </c>
      <c r="J36" s="8" t="n">
        <f aca="false">IFERROR(Rohdaten!C36*100/Rohdaten!N36,"–")</f>
        <v>1000</v>
      </c>
      <c r="K36" s="9" t="n">
        <f aca="false">IFERROR(Rohdaten!C36*100/Rohdaten!O36,"–")</f>
        <v>50</v>
      </c>
      <c r="L36" s="8" t="n">
        <f aca="false">IFERROR(Rohdaten!C36*100/Rohdaten!P36,"–")</f>
        <v>400</v>
      </c>
      <c r="M36" s="8" t="n">
        <f aca="false">IFERROR(Rohdaten!C36*100/Rohdaten!Q36,"–")</f>
        <v>1000</v>
      </c>
      <c r="N36" s="8" t="n">
        <f aca="false">IFERROR(Rohdaten!C36*100/Rohdaten!R36,"–")</f>
        <v>200</v>
      </c>
      <c r="O36" s="8" t="n">
        <f aca="false">IFERROR(Rohdaten!C36*100/Rohdaten!S36,"–")</f>
        <v>166.666666666667</v>
      </c>
      <c r="P36" s="9" t="n">
        <f aca="false">IFERROR(Rohdaten!C36*100/Rohdaten!T36,"–")</f>
        <v>1.05263157894737</v>
      </c>
      <c r="Q36" s="9" t="str">
        <f aca="false">IFERROR(Rohdaten!C36*100/Rohdaten!U36,"–")</f>
        <v>–</v>
      </c>
      <c r="R36" s="8" t="n">
        <f aca="false">IFERROR(Rohdaten!C36*100/Rohdaten!V36,"–")</f>
        <v>0.869565217391304</v>
      </c>
      <c r="S36" s="8" t="n">
        <f aca="false">IFERROR(Rohdaten!C36*100/Rohdaten!W36,"–")</f>
        <v>100</v>
      </c>
      <c r="T36" s="8" t="n">
        <f aca="false">IFERROR(Rohdaten!C36*100/Rohdaten!X36,"–")</f>
        <v>2</v>
      </c>
      <c r="U36" s="8" t="n">
        <f aca="false">IFERROR(Rohdaten!C36*100/Rohdaten!Y36,"–")</f>
        <v>100</v>
      </c>
      <c r="V36" s="8" t="n">
        <f aca="false">IFERROR(Rohdaten!C36*100/Rohdaten!Z36,"–")</f>
        <v>0.133333333333333</v>
      </c>
    </row>
    <row r="37" customFormat="false" ht="15" hidden="false" customHeight="true" outlineLevel="0" collapsed="false">
      <c r="A37" s="4" t="str">
        <f aca="false">Rohdaten!A37</f>
        <v>Weißkohl, frisch</v>
      </c>
      <c r="B37" s="8" t="n">
        <f aca="false">Rohdaten!C37</f>
        <v>0.1</v>
      </c>
      <c r="C37" s="8" t="n">
        <f aca="false">IFERROR(Rohdaten!C37*100/Rohdaten!G37,"–")</f>
        <v>0.4</v>
      </c>
      <c r="D37" s="8" t="n">
        <f aca="false">IFERROR(Rohdaten!C37*100/(Rohdaten!H37*9),"–")</f>
        <v>11.1111111111111</v>
      </c>
      <c r="E37" s="8" t="n">
        <f aca="false">IFERROR(Rohdaten!C37*100/(Rohdaten!I37*4),"–")</f>
        <v>1.92307692307692</v>
      </c>
      <c r="F37" s="8" t="n">
        <f aca="false">IFERROR(Rohdaten!C37*100/(Rohdaten!J37*4),"–")</f>
        <v>0.595238095238095</v>
      </c>
      <c r="G37" s="9" t="n">
        <f aca="false">IFERROR(Rohdaten!C37*100/Rohdaten!K37,"–")</f>
        <v>10</v>
      </c>
      <c r="H37" s="8" t="n">
        <f aca="false">IFERROR(Rohdaten!C37*100/Rohdaten!L37,"–")</f>
        <v>0.27027027027027</v>
      </c>
      <c r="I37" s="9" t="str">
        <f aca="false">IFERROR(Rohdaten!C37*100/Rohdaten!M37,"–")</f>
        <v>–</v>
      </c>
      <c r="J37" s="8" t="n">
        <f aca="false">IFERROR(Rohdaten!C37*100/Rohdaten!N37,"–")</f>
        <v>100</v>
      </c>
      <c r="K37" s="9" t="n">
        <f aca="false">IFERROR(Rohdaten!C37*100/Rohdaten!O37,"–")</f>
        <v>0.131578947368421</v>
      </c>
      <c r="L37" s="8" t="n">
        <f aca="false">IFERROR(Rohdaten!C37*100/Rohdaten!P37,"–")</f>
        <v>200</v>
      </c>
      <c r="M37" s="8" t="n">
        <f aca="false">IFERROR(Rohdaten!C37*100/Rohdaten!Q37,"–")</f>
        <v>250</v>
      </c>
      <c r="N37" s="8" t="n">
        <f aca="false">IFERROR(Rohdaten!C37*100/Rohdaten!R37,"–")</f>
        <v>33.3333333333333</v>
      </c>
      <c r="O37" s="8" t="n">
        <f aca="false">IFERROR(Rohdaten!C37*100/Rohdaten!S37,"–")</f>
        <v>66.6666666666667</v>
      </c>
      <c r="P37" s="9" t="n">
        <f aca="false">IFERROR(Rohdaten!C37*100/Rohdaten!T37,"–")</f>
        <v>0.232558139534884</v>
      </c>
      <c r="Q37" s="9" t="str">
        <f aca="false">IFERROR(Rohdaten!C37*100/Rohdaten!U37,"–")</f>
        <v>–</v>
      </c>
      <c r="R37" s="8" t="n">
        <f aca="false">IFERROR(Rohdaten!C37*100/Rohdaten!V37,"–")</f>
        <v>0.25</v>
      </c>
      <c r="S37" s="8" t="n">
        <f aca="false">IFERROR(Rohdaten!C37*100/Rohdaten!W37,"–")</f>
        <v>25</v>
      </c>
      <c r="T37" s="8" t="n">
        <f aca="false">IFERROR(Rohdaten!C37*100/Rohdaten!X37,"–")</f>
        <v>0.833333333333333</v>
      </c>
      <c r="U37" s="8" t="n">
        <f aca="false">IFERROR(Rohdaten!C37*100/Rohdaten!Y37,"–")</f>
        <v>50</v>
      </c>
      <c r="V37" s="8" t="n">
        <f aca="false">IFERROR(Rohdaten!C37*100/Rohdaten!Z37,"–")</f>
        <v>0.0588235294117647</v>
      </c>
    </row>
    <row r="38" customFormat="false" ht="15" hidden="false" customHeight="true" outlineLevel="0" collapsed="false">
      <c r="A38" s="4" t="str">
        <f aca="false">Rohdaten!A38</f>
        <v>Feldsalat</v>
      </c>
      <c r="B38" s="8" t="n">
        <f aca="false">Rohdaten!C38</f>
        <v>0.3</v>
      </c>
      <c r="C38" s="8" t="n">
        <f aca="false">IFERROR(Rohdaten!C38*100/Rohdaten!G38,"–")</f>
        <v>1.42857142857143</v>
      </c>
      <c r="D38" s="8" t="n">
        <f aca="false">IFERROR(Rohdaten!C38*100/(Rohdaten!H38*9),"–")</f>
        <v>8.33333333333333</v>
      </c>
      <c r="E38" s="8" t="n">
        <f aca="false">IFERROR(Rohdaten!C38*100/(Rohdaten!I38*4),"–")</f>
        <v>3.75</v>
      </c>
      <c r="F38" s="8" t="n">
        <f aca="false">IFERROR(Rohdaten!C38*100/(Rohdaten!J38*4),"–")</f>
        <v>2.08333333333333</v>
      </c>
      <c r="G38" s="9" t="n">
        <f aca="false">IFERROR(Rohdaten!C38*100/Rohdaten!K38,"–")</f>
        <v>0.106761565836299</v>
      </c>
      <c r="H38" s="8" t="n">
        <f aca="false">IFERROR(Rohdaten!C38*100/Rohdaten!L38,"–")</f>
        <v>0.857142857142857</v>
      </c>
      <c r="I38" s="9" t="str">
        <f aca="false">IFERROR(Rohdaten!C38*100/Rohdaten!M38,"–")</f>
        <v>–</v>
      </c>
      <c r="J38" s="8" t="n">
        <f aca="false">IFERROR(Rohdaten!C38*100/Rohdaten!N38,"–")</f>
        <v>50</v>
      </c>
      <c r="K38" s="9" t="n">
        <f aca="false">IFERROR(Rohdaten!C38*100/Rohdaten!O38,"–")</f>
        <v>0.1</v>
      </c>
      <c r="L38" s="8" t="n">
        <f aca="false">IFERROR(Rohdaten!C38*100/Rohdaten!P38,"–")</f>
        <v>428.571428571429</v>
      </c>
      <c r="M38" s="8" t="n">
        <f aca="false">IFERROR(Rohdaten!C38*100/Rohdaten!Q38,"–")</f>
        <v>333.333333333333</v>
      </c>
      <c r="N38" s="8" t="n">
        <f aca="false">IFERROR(Rohdaten!C38*100/Rohdaten!R38,"–")</f>
        <v>75</v>
      </c>
      <c r="O38" s="8" t="n">
        <f aca="false">IFERROR(Rohdaten!C38*100/Rohdaten!S38,"–")</f>
        <v>125</v>
      </c>
      <c r="P38" s="9" t="n">
        <f aca="false">IFERROR(Rohdaten!C38*100/Rohdaten!T38,"–")</f>
        <v>0.206896551724138</v>
      </c>
      <c r="Q38" s="9" t="str">
        <f aca="false">IFERROR(Rohdaten!C38*100/Rohdaten!U38,"–")</f>
        <v>–</v>
      </c>
      <c r="R38" s="8" t="n">
        <f aca="false">IFERROR(Rohdaten!C38*100/Rohdaten!V38,"–")</f>
        <v>0.789473684210526</v>
      </c>
      <c r="S38" s="8" t="n">
        <f aca="false">IFERROR(Rohdaten!C38*100/Rohdaten!W38,"–")</f>
        <v>15</v>
      </c>
      <c r="T38" s="8" t="n">
        <f aca="false">IFERROR(Rohdaten!C38*100/Rohdaten!X38,"–")</f>
        <v>2.30769230769231</v>
      </c>
      <c r="U38" s="8" t="n">
        <f aca="false">IFERROR(Rohdaten!C38*100/Rohdaten!Y38,"–")</f>
        <v>60</v>
      </c>
      <c r="V38" s="8" t="n">
        <f aca="false">IFERROR(Rohdaten!C38*100/Rohdaten!Z38,"–")</f>
        <v>0.065359477124183</v>
      </c>
    </row>
    <row r="39" customFormat="false" ht="15" hidden="false" customHeight="true" outlineLevel="0" collapsed="false">
      <c r="A39" s="4" t="str">
        <f aca="false">Rohdaten!A39</f>
        <v>Tomaten (Bio)</v>
      </c>
      <c r="B39" s="8" t="n">
        <f aca="false">Rohdaten!C39</f>
        <v>1.1</v>
      </c>
      <c r="C39" s="8" t="n">
        <f aca="false">IFERROR(Rohdaten!C39*100/Rohdaten!G39,"–")</f>
        <v>6.11111111111111</v>
      </c>
      <c r="D39" s="8" t="n">
        <f aca="false">IFERROR(Rohdaten!C39*100/(Rohdaten!H39*9),"–")</f>
        <v>61.1111111111111</v>
      </c>
      <c r="E39" s="8" t="n">
        <f aca="false">IFERROR(Rohdaten!C39*100/(Rohdaten!I39*4),"–")</f>
        <v>30.5555555555556</v>
      </c>
      <c r="F39" s="8" t="n">
        <f aca="false">IFERROR(Rohdaten!C39*100/(Rohdaten!J39*4),"–")</f>
        <v>7.05128205128205</v>
      </c>
      <c r="G39" s="9" t="n">
        <f aca="false">IFERROR(Rohdaten!C39*100/Rohdaten!K39,"–")</f>
        <v>2.61904761904762</v>
      </c>
      <c r="H39" s="8" t="n">
        <f aca="false">IFERROR(Rohdaten!C39*100/Rohdaten!L39,"–")</f>
        <v>7.85714285714286</v>
      </c>
      <c r="I39" s="9" t="str">
        <f aca="false">IFERROR(Rohdaten!C39*100/Rohdaten!M39,"–")</f>
        <v>–</v>
      </c>
      <c r="J39" s="8" t="n">
        <f aca="false">IFERROR(Rohdaten!C39*100/Rohdaten!N39,"–")</f>
        <v>220</v>
      </c>
      <c r="K39" s="9" t="n">
        <f aca="false">IFERROR(Rohdaten!C39*100/Rohdaten!O39,"–")</f>
        <v>13.75</v>
      </c>
      <c r="L39" s="8" t="n">
        <f aca="false">IFERROR(Rohdaten!C39*100/Rohdaten!P39,"–")</f>
        <v>2750</v>
      </c>
      <c r="M39" s="8" t="n">
        <f aca="false">IFERROR(Rohdaten!C39*100/Rohdaten!Q39,"–")</f>
        <v>5500</v>
      </c>
      <c r="N39" s="8" t="n">
        <f aca="false">IFERROR(Rohdaten!C39*100/Rohdaten!R39,"–")</f>
        <v>183.333333333333</v>
      </c>
      <c r="O39" s="8" t="n">
        <f aca="false">IFERROR(Rohdaten!C39*100/Rohdaten!S39,"–")</f>
        <v>1375</v>
      </c>
      <c r="P39" s="9" t="n">
        <f aca="false">IFERROR(Rohdaten!C39*100/Rohdaten!T39,"–")</f>
        <v>7.33333333333333</v>
      </c>
      <c r="Q39" s="9" t="str">
        <f aca="false">IFERROR(Rohdaten!C39*100/Rohdaten!U39,"–")</f>
        <v>–</v>
      </c>
      <c r="R39" s="8" t="n">
        <f aca="false">IFERROR(Rohdaten!C39*100/Rohdaten!V39,"–")</f>
        <v>11</v>
      </c>
      <c r="S39" s="8" t="n">
        <f aca="false">IFERROR(Rohdaten!C39*100/Rohdaten!W39,"–")</f>
        <v>366.666666666667</v>
      </c>
      <c r="T39" s="8" t="n">
        <f aca="false">IFERROR(Rohdaten!C39*100/Rohdaten!X39,"–")</f>
        <v>10</v>
      </c>
      <c r="U39" s="8" t="n">
        <f aca="false">IFERROR(Rohdaten!C39*100/Rohdaten!Y39,"–")</f>
        <v>550</v>
      </c>
      <c r="V39" s="8" t="n">
        <f aca="false">IFERROR(Rohdaten!C39*100/Rohdaten!Z39,"–")</f>
        <v>0.458333333333333</v>
      </c>
    </row>
    <row r="40" customFormat="false" ht="15" hidden="false" customHeight="true" outlineLevel="0" collapsed="false">
      <c r="A40" s="4" t="str">
        <f aca="false">Rohdaten!A40</f>
        <v>Tomaten, Winter-Gewächshaus (DE)</v>
      </c>
      <c r="B40" s="8" t="n">
        <f aca="false">Rohdaten!C40</f>
        <v>2.9</v>
      </c>
      <c r="C40" s="8" t="n">
        <f aca="false">IFERROR(Rohdaten!C40*100/Rohdaten!G40,"–")</f>
        <v>16.1111111111111</v>
      </c>
      <c r="D40" s="8" t="n">
        <f aca="false">IFERROR(Rohdaten!C40*100/(Rohdaten!H40*9),"–")</f>
        <v>161.111111111111</v>
      </c>
      <c r="E40" s="8" t="n">
        <f aca="false">IFERROR(Rohdaten!C40*100/(Rohdaten!I40*4),"–")</f>
        <v>80.5555555555556</v>
      </c>
      <c r="F40" s="8" t="n">
        <f aca="false">IFERROR(Rohdaten!C40*100/(Rohdaten!J40*4),"–")</f>
        <v>18.5897435897436</v>
      </c>
      <c r="G40" s="9" t="n">
        <f aca="false">IFERROR(Rohdaten!C40*100/Rohdaten!K40,"–")</f>
        <v>6.90476190476191</v>
      </c>
      <c r="H40" s="8" t="n">
        <f aca="false">IFERROR(Rohdaten!C40*100/Rohdaten!L40,"–")</f>
        <v>20.7142857142857</v>
      </c>
      <c r="I40" s="9" t="str">
        <f aca="false">IFERROR(Rohdaten!C40*100/Rohdaten!M40,"–")</f>
        <v>–</v>
      </c>
      <c r="J40" s="8" t="n">
        <f aca="false">IFERROR(Rohdaten!C40*100/Rohdaten!N40,"–")</f>
        <v>580</v>
      </c>
      <c r="K40" s="9" t="n">
        <f aca="false">IFERROR(Rohdaten!C40*100/Rohdaten!O40,"–")</f>
        <v>36.25</v>
      </c>
      <c r="L40" s="8" t="n">
        <f aca="false">IFERROR(Rohdaten!C40*100/Rohdaten!P40,"–")</f>
        <v>7250</v>
      </c>
      <c r="M40" s="8" t="n">
        <f aca="false">IFERROR(Rohdaten!C40*100/Rohdaten!Q40,"–")</f>
        <v>14500</v>
      </c>
      <c r="N40" s="8" t="n">
        <f aca="false">IFERROR(Rohdaten!C40*100/Rohdaten!R40,"–")</f>
        <v>483.333333333333</v>
      </c>
      <c r="O40" s="8" t="n">
        <f aca="false">IFERROR(Rohdaten!C40*100/Rohdaten!S40,"–")</f>
        <v>3625</v>
      </c>
      <c r="P40" s="9" t="n">
        <f aca="false">IFERROR(Rohdaten!C40*100/Rohdaten!T40,"–")</f>
        <v>19.3333333333333</v>
      </c>
      <c r="Q40" s="9" t="str">
        <f aca="false">IFERROR(Rohdaten!C40*100/Rohdaten!U40,"–")</f>
        <v>–</v>
      </c>
      <c r="R40" s="8" t="n">
        <f aca="false">IFERROR(Rohdaten!C40*100/Rohdaten!V40,"–")</f>
        <v>29</v>
      </c>
      <c r="S40" s="8" t="n">
        <f aca="false">IFERROR(Rohdaten!C40*100/Rohdaten!W40,"–")</f>
        <v>966.666666666667</v>
      </c>
      <c r="T40" s="8" t="n">
        <f aca="false">IFERROR(Rohdaten!C40*100/Rohdaten!X40,"–")</f>
        <v>26.3636363636364</v>
      </c>
      <c r="U40" s="8" t="n">
        <f aca="false">IFERROR(Rohdaten!C40*100/Rohdaten!Y40,"–")</f>
        <v>1450</v>
      </c>
      <c r="V40" s="8" t="n">
        <f aca="false">IFERROR(Rohdaten!C40*100/Rohdaten!Z40,"–")</f>
        <v>1.20833333333333</v>
      </c>
    </row>
    <row r="41" customFormat="false" ht="15" hidden="false" customHeight="true" outlineLevel="0" collapsed="false">
      <c r="A41" s="4" t="str">
        <f aca="false">Rohdaten!A41</f>
        <v>Tomaten, Durchschnitt</v>
      </c>
      <c r="B41" s="8" t="n">
        <f aca="false">Rohdaten!C41</f>
        <v>0.8</v>
      </c>
      <c r="C41" s="8" t="n">
        <f aca="false">IFERROR(Rohdaten!C41*100/Rohdaten!G41,"–")</f>
        <v>4.44444444444445</v>
      </c>
      <c r="D41" s="8" t="n">
        <f aca="false">IFERROR(Rohdaten!C41*100/(Rohdaten!H41*9),"–")</f>
        <v>44.4444444444444</v>
      </c>
      <c r="E41" s="8" t="n">
        <f aca="false">IFERROR(Rohdaten!C41*100/(Rohdaten!I41*4),"–")</f>
        <v>22.2222222222222</v>
      </c>
      <c r="F41" s="8" t="n">
        <f aca="false">IFERROR(Rohdaten!C41*100/(Rohdaten!J41*4),"–")</f>
        <v>5.12820512820513</v>
      </c>
      <c r="G41" s="9" t="n">
        <f aca="false">IFERROR(Rohdaten!C41*100/Rohdaten!K41,"–")</f>
        <v>1.9047619047619</v>
      </c>
      <c r="H41" s="8" t="n">
        <f aca="false">IFERROR(Rohdaten!C41*100/Rohdaten!L41,"–")</f>
        <v>5.71428571428571</v>
      </c>
      <c r="I41" s="9" t="str">
        <f aca="false">IFERROR(Rohdaten!C41*100/Rohdaten!M41,"–")</f>
        <v>–</v>
      </c>
      <c r="J41" s="8" t="n">
        <f aca="false">IFERROR(Rohdaten!C41*100/Rohdaten!N41,"–")</f>
        <v>160</v>
      </c>
      <c r="K41" s="9" t="n">
        <f aca="false">IFERROR(Rohdaten!C41*100/Rohdaten!O41,"–")</f>
        <v>10</v>
      </c>
      <c r="L41" s="8" t="n">
        <f aca="false">IFERROR(Rohdaten!C41*100/Rohdaten!P41,"–")</f>
        <v>2000</v>
      </c>
      <c r="M41" s="8" t="n">
        <f aca="false">IFERROR(Rohdaten!C41*100/Rohdaten!Q41,"–")</f>
        <v>4000</v>
      </c>
      <c r="N41" s="8" t="n">
        <f aca="false">IFERROR(Rohdaten!C41*100/Rohdaten!R41,"–")</f>
        <v>133.333333333333</v>
      </c>
      <c r="O41" s="8" t="n">
        <f aca="false">IFERROR(Rohdaten!C41*100/Rohdaten!S41,"–")</f>
        <v>1000</v>
      </c>
      <c r="P41" s="9" t="n">
        <f aca="false">IFERROR(Rohdaten!C41*100/Rohdaten!T41,"–")</f>
        <v>5.33333333333333</v>
      </c>
      <c r="Q41" s="9" t="str">
        <f aca="false">IFERROR(Rohdaten!C41*100/Rohdaten!U41,"–")</f>
        <v>–</v>
      </c>
      <c r="R41" s="8" t="n">
        <f aca="false">IFERROR(Rohdaten!C41*100/Rohdaten!V41,"–")</f>
        <v>8</v>
      </c>
      <c r="S41" s="8" t="n">
        <f aca="false">IFERROR(Rohdaten!C41*100/Rohdaten!W41,"–")</f>
        <v>266.666666666667</v>
      </c>
      <c r="T41" s="8" t="n">
        <f aca="false">IFERROR(Rohdaten!C41*100/Rohdaten!X41,"–")</f>
        <v>7.27272727272727</v>
      </c>
      <c r="U41" s="8" t="n">
        <f aca="false">IFERROR(Rohdaten!C41*100/Rohdaten!Y41,"–")</f>
        <v>400</v>
      </c>
      <c r="V41" s="8" t="n">
        <f aca="false">IFERROR(Rohdaten!C41*100/Rohdaten!Z41,"–")</f>
        <v>0.333333333333333</v>
      </c>
    </row>
    <row r="42" customFormat="false" ht="15" hidden="false" customHeight="true" outlineLevel="0" collapsed="false">
      <c r="A42" s="4" t="str">
        <f aca="false">Rohdaten!A42</f>
        <v>Tomaten, Südeuropa Freiland</v>
      </c>
      <c r="B42" s="8" t="n">
        <f aca="false">Rohdaten!C42</f>
        <v>0.4</v>
      </c>
      <c r="C42" s="8" t="n">
        <f aca="false">IFERROR(Rohdaten!C42*100/Rohdaten!G42,"–")</f>
        <v>2.22222222222222</v>
      </c>
      <c r="D42" s="8" t="n">
        <f aca="false">IFERROR(Rohdaten!C42*100/(Rohdaten!H42*9),"–")</f>
        <v>22.2222222222222</v>
      </c>
      <c r="E42" s="8" t="n">
        <f aca="false">IFERROR(Rohdaten!C42*100/(Rohdaten!I42*4),"–")</f>
        <v>11.1111111111111</v>
      </c>
      <c r="F42" s="8" t="n">
        <f aca="false">IFERROR(Rohdaten!C42*100/(Rohdaten!J42*4),"–")</f>
        <v>2.56410256410256</v>
      </c>
      <c r="G42" s="9" t="n">
        <f aca="false">IFERROR(Rohdaten!C42*100/Rohdaten!K42,"–")</f>
        <v>0.952380952380952</v>
      </c>
      <c r="H42" s="8" t="n">
        <f aca="false">IFERROR(Rohdaten!C42*100/Rohdaten!L42,"–")</f>
        <v>2.85714285714286</v>
      </c>
      <c r="I42" s="9" t="str">
        <f aca="false">IFERROR(Rohdaten!C42*100/Rohdaten!M42,"–")</f>
        <v>–</v>
      </c>
      <c r="J42" s="8" t="n">
        <f aca="false">IFERROR(Rohdaten!C42*100/Rohdaten!N42,"–")</f>
        <v>80</v>
      </c>
      <c r="K42" s="9" t="n">
        <f aca="false">IFERROR(Rohdaten!C42*100/Rohdaten!O42,"–")</f>
        <v>5</v>
      </c>
      <c r="L42" s="8" t="n">
        <f aca="false">IFERROR(Rohdaten!C42*100/Rohdaten!P42,"–")</f>
        <v>1000</v>
      </c>
      <c r="M42" s="8" t="n">
        <f aca="false">IFERROR(Rohdaten!C42*100/Rohdaten!Q42,"–")</f>
        <v>2000</v>
      </c>
      <c r="N42" s="8" t="n">
        <f aca="false">IFERROR(Rohdaten!C42*100/Rohdaten!R42,"–")</f>
        <v>66.6666666666667</v>
      </c>
      <c r="O42" s="8" t="n">
        <f aca="false">IFERROR(Rohdaten!C42*100/Rohdaten!S42,"–")</f>
        <v>500</v>
      </c>
      <c r="P42" s="9" t="n">
        <f aca="false">IFERROR(Rohdaten!C42*100/Rohdaten!T42,"–")</f>
        <v>2.66666666666667</v>
      </c>
      <c r="Q42" s="9" t="str">
        <f aca="false">IFERROR(Rohdaten!C42*100/Rohdaten!U42,"–")</f>
        <v>–</v>
      </c>
      <c r="R42" s="8" t="n">
        <f aca="false">IFERROR(Rohdaten!C42*100/Rohdaten!V42,"–")</f>
        <v>4</v>
      </c>
      <c r="S42" s="8" t="n">
        <f aca="false">IFERROR(Rohdaten!C42*100/Rohdaten!W42,"–")</f>
        <v>133.333333333333</v>
      </c>
      <c r="T42" s="8" t="n">
        <f aca="false">IFERROR(Rohdaten!C42*100/Rohdaten!X42,"–")</f>
        <v>3.63636363636364</v>
      </c>
      <c r="U42" s="8" t="n">
        <f aca="false">IFERROR(Rohdaten!C42*100/Rohdaten!Y42,"–")</f>
        <v>200</v>
      </c>
      <c r="V42" s="8" t="n">
        <f aca="false">IFERROR(Rohdaten!C42*100/Rohdaten!Z42,"–")</f>
        <v>0.166666666666667</v>
      </c>
    </row>
    <row r="43" customFormat="false" ht="15" hidden="false" customHeight="true" outlineLevel="0" collapsed="false">
      <c r="A43" s="4" t="str">
        <f aca="false">Rohdaten!A43</f>
        <v>Tomaten, Kirschtomaten</v>
      </c>
      <c r="B43" s="8" t="n">
        <f aca="false">Rohdaten!C43</f>
        <v>0.9</v>
      </c>
      <c r="C43" s="8" t="n">
        <f aca="false">IFERROR(Rohdaten!C43*100/Rohdaten!G43,"–")</f>
        <v>5</v>
      </c>
      <c r="D43" s="8" t="n">
        <f aca="false">IFERROR(Rohdaten!C43*100/(Rohdaten!H43*9),"–")</f>
        <v>50</v>
      </c>
      <c r="E43" s="8" t="n">
        <f aca="false">IFERROR(Rohdaten!C43*100/(Rohdaten!I43*4),"–")</f>
        <v>25</v>
      </c>
      <c r="F43" s="8" t="n">
        <f aca="false">IFERROR(Rohdaten!C43*100/(Rohdaten!J43*4),"–")</f>
        <v>5.76923076923077</v>
      </c>
      <c r="G43" s="9" t="n">
        <f aca="false">IFERROR(Rohdaten!C43*100/Rohdaten!K43,"–")</f>
        <v>2.14285714285714</v>
      </c>
      <c r="H43" s="8" t="n">
        <f aca="false">IFERROR(Rohdaten!C43*100/Rohdaten!L43,"–")</f>
        <v>4.5</v>
      </c>
      <c r="I43" s="9" t="str">
        <f aca="false">IFERROR(Rohdaten!C43*100/Rohdaten!M43,"–")</f>
        <v>–</v>
      </c>
      <c r="J43" s="8" t="n">
        <f aca="false">IFERROR(Rohdaten!C43*100/Rohdaten!N43,"–")</f>
        <v>180</v>
      </c>
      <c r="K43" s="9" t="n">
        <f aca="false">IFERROR(Rohdaten!C43*100/Rohdaten!O43,"–")</f>
        <v>11.25</v>
      </c>
      <c r="L43" s="8" t="n">
        <f aca="false">IFERROR(Rohdaten!C43*100/Rohdaten!P43,"–")</f>
        <v>2250</v>
      </c>
      <c r="M43" s="8" t="n">
        <f aca="false">IFERROR(Rohdaten!C43*100/Rohdaten!Q43,"–")</f>
        <v>4500</v>
      </c>
      <c r="N43" s="8" t="n">
        <f aca="false">IFERROR(Rohdaten!C43*100/Rohdaten!R43,"–")</f>
        <v>150</v>
      </c>
      <c r="O43" s="8" t="n">
        <f aca="false">IFERROR(Rohdaten!C43*100/Rohdaten!S43,"–")</f>
        <v>1125</v>
      </c>
      <c r="P43" s="9" t="n">
        <f aca="false">IFERROR(Rohdaten!C43*100/Rohdaten!T43,"–")</f>
        <v>6</v>
      </c>
      <c r="Q43" s="9" t="str">
        <f aca="false">IFERROR(Rohdaten!C43*100/Rohdaten!U43,"–")</f>
        <v>–</v>
      </c>
      <c r="R43" s="8" t="n">
        <f aca="false">IFERROR(Rohdaten!C43*100/Rohdaten!V43,"–")</f>
        <v>9</v>
      </c>
      <c r="S43" s="8" t="n">
        <f aca="false">IFERROR(Rohdaten!C43*100/Rohdaten!W43,"–")</f>
        <v>300</v>
      </c>
      <c r="T43" s="8" t="n">
        <f aca="false">IFERROR(Rohdaten!C43*100/Rohdaten!X43,"–")</f>
        <v>8.18181818181818</v>
      </c>
      <c r="U43" s="8" t="n">
        <f aca="false">IFERROR(Rohdaten!C43*100/Rohdaten!Y43,"–")</f>
        <v>450</v>
      </c>
      <c r="V43" s="8" t="n">
        <f aca="false">IFERROR(Rohdaten!C43*100/Rohdaten!Z43,"–")</f>
        <v>0.375</v>
      </c>
    </row>
    <row r="44" customFormat="false" ht="15" hidden="false" customHeight="true" outlineLevel="0" collapsed="false">
      <c r="A44" s="4" t="str">
        <f aca="false">Rohdaten!A44</f>
        <v>Tomaten, Deutschland saisonal</v>
      </c>
      <c r="B44" s="8" t="n">
        <f aca="false">Rohdaten!C44</f>
        <v>0.3</v>
      </c>
      <c r="C44" s="8" t="n">
        <f aca="false">IFERROR(Rohdaten!C44*100/Rohdaten!G44,"–")</f>
        <v>1.66666666666667</v>
      </c>
      <c r="D44" s="8" t="n">
        <f aca="false">IFERROR(Rohdaten!C44*100/(Rohdaten!H44*9),"–")</f>
        <v>16.6666666666667</v>
      </c>
      <c r="E44" s="8" t="n">
        <f aca="false">IFERROR(Rohdaten!C44*100/(Rohdaten!I44*4),"–")</f>
        <v>8.33333333333333</v>
      </c>
      <c r="F44" s="8" t="n">
        <f aca="false">IFERROR(Rohdaten!C44*100/(Rohdaten!J44*4),"–")</f>
        <v>1.92307692307692</v>
      </c>
      <c r="G44" s="9" t="n">
        <f aca="false">IFERROR(Rohdaten!C44*100/Rohdaten!K44,"–")</f>
        <v>0.714285714285714</v>
      </c>
      <c r="H44" s="8" t="n">
        <f aca="false">IFERROR(Rohdaten!C44*100/Rohdaten!L44,"–")</f>
        <v>2.14285714285714</v>
      </c>
      <c r="I44" s="9" t="str">
        <f aca="false">IFERROR(Rohdaten!C44*100/Rohdaten!M44,"–")</f>
        <v>–</v>
      </c>
      <c r="J44" s="8" t="n">
        <f aca="false">IFERROR(Rohdaten!C44*100/Rohdaten!N44,"–")</f>
        <v>60</v>
      </c>
      <c r="K44" s="9" t="n">
        <f aca="false">IFERROR(Rohdaten!C44*100/Rohdaten!O44,"–")</f>
        <v>3.75</v>
      </c>
      <c r="L44" s="8" t="n">
        <f aca="false">IFERROR(Rohdaten!C44*100/Rohdaten!P44,"–")</f>
        <v>750</v>
      </c>
      <c r="M44" s="8" t="n">
        <f aca="false">IFERROR(Rohdaten!C44*100/Rohdaten!Q44,"–")</f>
        <v>1500</v>
      </c>
      <c r="N44" s="8" t="n">
        <f aca="false">IFERROR(Rohdaten!C44*100/Rohdaten!R44,"–")</f>
        <v>50</v>
      </c>
      <c r="O44" s="8" t="n">
        <f aca="false">IFERROR(Rohdaten!C44*100/Rohdaten!S44,"–")</f>
        <v>375</v>
      </c>
      <c r="P44" s="9" t="n">
        <f aca="false">IFERROR(Rohdaten!C44*100/Rohdaten!T44,"–")</f>
        <v>2</v>
      </c>
      <c r="Q44" s="9" t="str">
        <f aca="false">IFERROR(Rohdaten!C44*100/Rohdaten!U44,"–")</f>
        <v>–</v>
      </c>
      <c r="R44" s="8" t="n">
        <f aca="false">IFERROR(Rohdaten!C44*100/Rohdaten!V44,"–")</f>
        <v>3</v>
      </c>
      <c r="S44" s="8" t="n">
        <f aca="false">IFERROR(Rohdaten!C44*100/Rohdaten!W44,"–")</f>
        <v>100</v>
      </c>
      <c r="T44" s="8" t="n">
        <f aca="false">IFERROR(Rohdaten!C44*100/Rohdaten!X44,"–")</f>
        <v>2.72727272727273</v>
      </c>
      <c r="U44" s="8" t="n">
        <f aca="false">IFERROR(Rohdaten!C44*100/Rohdaten!Y44,"–")</f>
        <v>150</v>
      </c>
      <c r="V44" s="8" t="n">
        <f aca="false">IFERROR(Rohdaten!C44*100/Rohdaten!Z44,"–")</f>
        <v>0.125</v>
      </c>
    </row>
    <row r="45" customFormat="false" ht="15" hidden="false" customHeight="true" outlineLevel="0" collapsed="false">
      <c r="A45" s="4" t="str">
        <f aca="false">Rohdaten!A45</f>
        <v>Tomaten, passiert (Dose)</v>
      </c>
      <c r="B45" s="8" t="n">
        <f aca="false">Rohdaten!C45</f>
        <v>1.8</v>
      </c>
      <c r="C45" s="8" t="n">
        <f aca="false">IFERROR(Rohdaten!C45*100/Rohdaten!G45,"–")</f>
        <v>5.625</v>
      </c>
      <c r="D45" s="8" t="n">
        <f aca="false">IFERROR(Rohdaten!C45*100/(Rohdaten!H45*9),"–")</f>
        <v>66.6666666666667</v>
      </c>
      <c r="E45" s="8" t="n">
        <f aca="false">IFERROR(Rohdaten!C45*100/(Rohdaten!I45*4),"–")</f>
        <v>28.125</v>
      </c>
      <c r="F45" s="8" t="n">
        <f aca="false">IFERROR(Rohdaten!C45*100/(Rohdaten!J45*4),"–")</f>
        <v>7.5</v>
      </c>
      <c r="G45" s="9" t="n">
        <f aca="false">IFERROR(Rohdaten!C45*100/Rohdaten!K45,"–")</f>
        <v>3.6</v>
      </c>
      <c r="H45" s="8" t="n">
        <f aca="false">IFERROR(Rohdaten!C45*100/Rohdaten!L45,"–")</f>
        <v>18</v>
      </c>
      <c r="I45" s="9" t="str">
        <f aca="false">IFERROR(Rohdaten!C45*100/Rohdaten!M45,"–")</f>
        <v>–</v>
      </c>
      <c r="J45" s="8" t="n">
        <f aca="false">IFERROR(Rohdaten!C45*100/Rohdaten!N45,"–")</f>
        <v>225</v>
      </c>
      <c r="K45" s="9" t="n">
        <f aca="false">IFERROR(Rohdaten!C45*100/Rohdaten!O45,"–")</f>
        <v>18</v>
      </c>
      <c r="L45" s="8" t="n">
        <f aca="false">IFERROR(Rohdaten!C45*100/Rohdaten!P45,"–")</f>
        <v>3000</v>
      </c>
      <c r="M45" s="8" t="n">
        <f aca="false">IFERROR(Rohdaten!C45*100/Rohdaten!Q45,"–")</f>
        <v>6000</v>
      </c>
      <c r="N45" s="8" t="n">
        <f aca="false">IFERROR(Rohdaten!C45*100/Rohdaten!R45,"–")</f>
        <v>180</v>
      </c>
      <c r="O45" s="8" t="n">
        <f aca="false">IFERROR(Rohdaten!C45*100/Rohdaten!S45,"–")</f>
        <v>1636.36363636364</v>
      </c>
      <c r="P45" s="9" t="n">
        <f aca="false">IFERROR(Rohdaten!C45*100/Rohdaten!T45,"–")</f>
        <v>12</v>
      </c>
      <c r="Q45" s="9" t="str">
        <f aca="false">IFERROR(Rohdaten!C45*100/Rohdaten!U45,"–")</f>
        <v>–</v>
      </c>
      <c r="R45" s="8" t="n">
        <f aca="false">IFERROR(Rohdaten!C45*100/Rohdaten!V45,"–")</f>
        <v>12</v>
      </c>
      <c r="S45" s="8" t="n">
        <f aca="false">IFERROR(Rohdaten!C45*100/Rohdaten!W45,"–")</f>
        <v>225</v>
      </c>
      <c r="T45" s="8" t="n">
        <f aca="false">IFERROR(Rohdaten!C45*100/Rohdaten!X45,"–")</f>
        <v>12</v>
      </c>
      <c r="U45" s="8" t="n">
        <f aca="false">IFERROR(Rohdaten!C45*100/Rohdaten!Y45,"–")</f>
        <v>600</v>
      </c>
      <c r="V45" s="8" t="n">
        <f aca="false">IFERROR(Rohdaten!C45*100/Rohdaten!Z45,"–")</f>
        <v>0.529411764705882</v>
      </c>
    </row>
    <row r="46" customFormat="false" ht="15" hidden="false" customHeight="true" outlineLevel="0" collapsed="false">
      <c r="A46" s="4" t="str">
        <f aca="false">Rohdaten!A46</f>
        <v>Tomaten, passiert (Verbundkarton)</v>
      </c>
      <c r="B46" s="8" t="n">
        <f aca="false">Rohdaten!C46</f>
        <v>1.6</v>
      </c>
      <c r="C46" s="8" t="n">
        <f aca="false">IFERROR(Rohdaten!C46*100/Rohdaten!G46,"–")</f>
        <v>5</v>
      </c>
      <c r="D46" s="8" t="n">
        <f aca="false">IFERROR(Rohdaten!C46*100/(Rohdaten!H46*9),"–")</f>
        <v>59.2592592592593</v>
      </c>
      <c r="E46" s="8" t="n">
        <f aca="false">IFERROR(Rohdaten!C46*100/(Rohdaten!I46*4),"–")</f>
        <v>25</v>
      </c>
      <c r="F46" s="8" t="n">
        <f aca="false">IFERROR(Rohdaten!C46*100/(Rohdaten!J46*4),"–")</f>
        <v>6.66666666666667</v>
      </c>
      <c r="G46" s="9" t="n">
        <f aca="false">IFERROR(Rohdaten!C46*100/Rohdaten!K46,"–")</f>
        <v>3.2</v>
      </c>
      <c r="H46" s="8" t="n">
        <f aca="false">IFERROR(Rohdaten!C46*100/Rohdaten!L46,"–")</f>
        <v>16</v>
      </c>
      <c r="I46" s="9" t="str">
        <f aca="false">IFERROR(Rohdaten!C46*100/Rohdaten!M46,"–")</f>
        <v>–</v>
      </c>
      <c r="J46" s="8" t="n">
        <f aca="false">IFERROR(Rohdaten!C46*100/Rohdaten!N46,"–")</f>
        <v>200</v>
      </c>
      <c r="K46" s="9" t="n">
        <f aca="false">IFERROR(Rohdaten!C46*100/Rohdaten!O46,"–")</f>
        <v>16</v>
      </c>
      <c r="L46" s="8" t="n">
        <f aca="false">IFERROR(Rohdaten!C46*100/Rohdaten!P46,"–")</f>
        <v>2666.66666666667</v>
      </c>
      <c r="M46" s="8" t="n">
        <f aca="false">IFERROR(Rohdaten!C46*100/Rohdaten!Q46,"–")</f>
        <v>5333.33333333333</v>
      </c>
      <c r="N46" s="8" t="n">
        <f aca="false">IFERROR(Rohdaten!C46*100/Rohdaten!R46,"–")</f>
        <v>160</v>
      </c>
      <c r="O46" s="8" t="n">
        <f aca="false">IFERROR(Rohdaten!C46*100/Rohdaten!S46,"–")</f>
        <v>1454.54545454545</v>
      </c>
      <c r="P46" s="9" t="n">
        <f aca="false">IFERROR(Rohdaten!C46*100/Rohdaten!T46,"–")</f>
        <v>10.6666666666667</v>
      </c>
      <c r="Q46" s="9" t="str">
        <f aca="false">IFERROR(Rohdaten!C46*100/Rohdaten!U46,"–")</f>
        <v>–</v>
      </c>
      <c r="R46" s="8" t="n">
        <f aca="false">IFERROR(Rohdaten!C46*100/Rohdaten!V46,"–")</f>
        <v>10.6666666666667</v>
      </c>
      <c r="S46" s="8" t="n">
        <f aca="false">IFERROR(Rohdaten!C46*100/Rohdaten!W46,"–")</f>
        <v>200</v>
      </c>
      <c r="T46" s="8" t="n">
        <f aca="false">IFERROR(Rohdaten!C46*100/Rohdaten!X46,"–")</f>
        <v>10.6666666666667</v>
      </c>
      <c r="U46" s="8" t="n">
        <f aca="false">IFERROR(Rohdaten!C46*100/Rohdaten!Y46,"–")</f>
        <v>533.333333333333</v>
      </c>
      <c r="V46" s="8" t="n">
        <f aca="false">IFERROR(Rohdaten!C46*100/Rohdaten!Z46,"–")</f>
        <v>0.470588235294118</v>
      </c>
    </row>
    <row r="47" customFormat="false" ht="15" hidden="false" customHeight="true" outlineLevel="0" collapsed="false">
      <c r="A47" s="4" t="str">
        <f aca="false">Rohdaten!A47</f>
        <v>Tomatenmark</v>
      </c>
      <c r="B47" s="8" t="n">
        <f aca="false">Rohdaten!C47</f>
        <v>4.3</v>
      </c>
      <c r="C47" s="8" t="n">
        <f aca="false">IFERROR(Rohdaten!C47*100/Rohdaten!G47,"–")</f>
        <v>5.24390243902439</v>
      </c>
      <c r="D47" s="8" t="n">
        <f aca="false">IFERROR(Rohdaten!C47*100/(Rohdaten!H47*9),"–")</f>
        <v>95.5555555555556</v>
      </c>
      <c r="E47" s="8" t="n">
        <f aca="false">IFERROR(Rohdaten!C47*100/(Rohdaten!I47*4),"–")</f>
        <v>25</v>
      </c>
      <c r="F47" s="8" t="n">
        <f aca="false">IFERROR(Rohdaten!C47*100/(Rohdaten!J47*4),"–")</f>
        <v>7.16666666666667</v>
      </c>
      <c r="G47" s="9" t="n">
        <f aca="false">IFERROR(Rohdaten!C47*100/Rohdaten!K47,"–")</f>
        <v>0.671875</v>
      </c>
      <c r="H47" s="8" t="n">
        <f aca="false">IFERROR(Rohdaten!C47*100/Rohdaten!L47,"–")</f>
        <v>19.5454545454545</v>
      </c>
      <c r="I47" s="9" t="str">
        <f aca="false">IFERROR(Rohdaten!C47*100/Rohdaten!M47,"–")</f>
        <v>–</v>
      </c>
      <c r="J47" s="8" t="n">
        <f aca="false">IFERROR(Rohdaten!C47*100/Rohdaten!N47,"–")</f>
        <v>215</v>
      </c>
      <c r="K47" s="9" t="n">
        <f aca="false">IFERROR(Rohdaten!C47*100/Rohdaten!O47,"–")</f>
        <v>21.5</v>
      </c>
      <c r="L47" s="8" t="n">
        <f aca="false">IFERROR(Rohdaten!C47*100/Rohdaten!P47,"–")</f>
        <v>4300</v>
      </c>
      <c r="M47" s="8" t="n">
        <f aca="false">IFERROR(Rohdaten!C47*100/Rohdaten!Q47,"–")</f>
        <v>4300</v>
      </c>
      <c r="N47" s="8" t="n">
        <f aca="false">IFERROR(Rohdaten!C47*100/Rohdaten!R47,"–")</f>
        <v>215</v>
      </c>
      <c r="O47" s="8" t="n">
        <f aca="false">IFERROR(Rohdaten!C47*100/Rohdaten!S47,"–")</f>
        <v>1433.33333333333</v>
      </c>
      <c r="P47" s="9" t="n">
        <f aca="false">IFERROR(Rohdaten!C47*100/Rohdaten!T47,"–")</f>
        <v>14.3333333333333</v>
      </c>
      <c r="Q47" s="9" t="str">
        <f aca="false">IFERROR(Rohdaten!C47*100/Rohdaten!U47,"–")</f>
        <v>–</v>
      </c>
      <c r="R47" s="8" t="n">
        <f aca="false">IFERROR(Rohdaten!C47*100/Rohdaten!V47,"–")</f>
        <v>11.9444444444444</v>
      </c>
      <c r="S47" s="8" t="n">
        <f aca="false">IFERROR(Rohdaten!C47*100/Rohdaten!W47,"–")</f>
        <v>215</v>
      </c>
      <c r="T47" s="8" t="n">
        <f aca="false">IFERROR(Rohdaten!C47*100/Rohdaten!X47,"–")</f>
        <v>10.75</v>
      </c>
      <c r="U47" s="8" t="n">
        <f aca="false">IFERROR(Rohdaten!C47*100/Rohdaten!Y47,"–")</f>
        <v>860</v>
      </c>
      <c r="V47" s="8" t="n">
        <f aca="false">IFERROR(Rohdaten!C47*100/Rohdaten!Z47,"–")</f>
        <v>0.477777777777778</v>
      </c>
    </row>
    <row r="48" customFormat="false" ht="15" hidden="false" customHeight="true" outlineLevel="0" collapsed="false">
      <c r="A48" s="4" t="str">
        <f aca="false">Rohdaten!A48</f>
        <v>Ananas, frisch</v>
      </c>
      <c r="B48" s="8" t="n">
        <f aca="false">Rohdaten!C48</f>
        <v>0.9</v>
      </c>
      <c r="C48" s="8" t="n">
        <f aca="false">IFERROR(Rohdaten!C48*100/Rohdaten!G48,"–")</f>
        <v>1.8</v>
      </c>
      <c r="D48" s="8" t="n">
        <f aca="false">IFERROR(Rohdaten!C48*100/(Rohdaten!H48*9),"–")</f>
        <v>100</v>
      </c>
      <c r="E48" s="8" t="n">
        <f aca="false">IFERROR(Rohdaten!C48*100/(Rohdaten!I48*4),"–")</f>
        <v>45</v>
      </c>
      <c r="F48" s="8" t="n">
        <f aca="false">IFERROR(Rohdaten!C48*100/(Rohdaten!J48*4),"–")</f>
        <v>1.73076923076923</v>
      </c>
      <c r="G48" s="9" t="n">
        <f aca="false">IFERROR(Rohdaten!C48*100/Rohdaten!K48,"–")</f>
        <v>90</v>
      </c>
      <c r="H48" s="8" t="n">
        <f aca="false">IFERROR(Rohdaten!C48*100/Rohdaten!L48,"–")</f>
        <v>1.875</v>
      </c>
      <c r="I48" s="9" t="str">
        <f aca="false">IFERROR(Rohdaten!C48*100/Rohdaten!M48,"–")</f>
        <v>–</v>
      </c>
      <c r="J48" s="8" t="n">
        <f aca="false">IFERROR(Rohdaten!C48*100/Rohdaten!N48,"–")</f>
        <v>4500</v>
      </c>
      <c r="K48" s="9" t="n">
        <f aca="false">IFERROR(Rohdaten!C48*100/Rohdaten!O48,"–")</f>
        <v>128.571428571429</v>
      </c>
      <c r="L48" s="8" t="n">
        <f aca="false">IFERROR(Rohdaten!C48*100/Rohdaten!P48,"–")</f>
        <v>1125</v>
      </c>
      <c r="M48" s="8" t="n">
        <f aca="false">IFERROR(Rohdaten!C48*100/Rohdaten!Q48,"–")</f>
        <v>3000</v>
      </c>
      <c r="N48" s="8" t="n">
        <f aca="false">IFERROR(Rohdaten!C48*100/Rohdaten!R48,"–")</f>
        <v>300</v>
      </c>
      <c r="O48" s="8" t="n">
        <f aca="false">IFERROR(Rohdaten!C48*100/Rohdaten!S48,"–")</f>
        <v>1000</v>
      </c>
      <c r="P48" s="9" t="n">
        <f aca="false">IFERROR(Rohdaten!C48*100/Rohdaten!T48,"–")</f>
        <v>5</v>
      </c>
      <c r="Q48" s="9" t="str">
        <f aca="false">IFERROR(Rohdaten!C48*100/Rohdaten!U48,"–")</f>
        <v>–</v>
      </c>
      <c r="R48" s="8" t="n">
        <f aca="false">IFERROR(Rohdaten!C48*100/Rohdaten!V48,"–")</f>
        <v>6.92307692307692</v>
      </c>
      <c r="S48" s="8" t="n">
        <f aca="false">IFERROR(Rohdaten!C48*100/Rohdaten!W48,"–")</f>
        <v>300</v>
      </c>
      <c r="T48" s="8" t="n">
        <f aca="false">IFERROR(Rohdaten!C48*100/Rohdaten!X48,"–")</f>
        <v>7.5</v>
      </c>
      <c r="U48" s="8" t="n">
        <f aca="false">IFERROR(Rohdaten!C48*100/Rohdaten!Y48,"–")</f>
        <v>900</v>
      </c>
      <c r="V48" s="8" t="n">
        <f aca="false">IFERROR(Rohdaten!C48*100/Rohdaten!Z48,"–")</f>
        <v>0.818181818181818</v>
      </c>
    </row>
    <row r="49" customFormat="false" ht="15" hidden="false" customHeight="true" outlineLevel="0" collapsed="false">
      <c r="A49" s="4" t="str">
        <f aca="false">Rohdaten!A49</f>
        <v>Ananas, Dose</v>
      </c>
      <c r="B49" s="8" t="n">
        <f aca="false">Rohdaten!C49</f>
        <v>1.8</v>
      </c>
      <c r="C49" s="8" t="n">
        <f aca="false">IFERROR(Rohdaten!C49*100/Rohdaten!G49,"–")</f>
        <v>3</v>
      </c>
      <c r="D49" s="8" t="n">
        <f aca="false">IFERROR(Rohdaten!C49*100/(Rohdaten!H49*9),"–")</f>
        <v>200</v>
      </c>
      <c r="E49" s="8" t="n">
        <f aca="false">IFERROR(Rohdaten!C49*100/(Rohdaten!I49*4),"–")</f>
        <v>112.5</v>
      </c>
      <c r="F49" s="8" t="n">
        <f aca="false">IFERROR(Rohdaten!C49*100/(Rohdaten!J49*4),"–")</f>
        <v>3</v>
      </c>
      <c r="G49" s="9" t="str">
        <f aca="false">IFERROR(Rohdaten!C49*100/Rohdaten!K49,"–")</f>
        <v>–</v>
      </c>
      <c r="H49" s="8" t="n">
        <f aca="false">IFERROR(Rohdaten!C49*100/Rohdaten!L49,"–")</f>
        <v>18</v>
      </c>
      <c r="I49" s="9" t="str">
        <f aca="false">IFERROR(Rohdaten!C49*100/Rohdaten!M49,"–")</f>
        <v>–</v>
      </c>
      <c r="J49" s="8" t="n">
        <f aca="false">IFERROR(Rohdaten!C49*100/Rohdaten!N49,"–")</f>
        <v>9000</v>
      </c>
      <c r="K49" s="9" t="n">
        <f aca="false">IFERROR(Rohdaten!C49*100/Rohdaten!O49,"–")</f>
        <v>360</v>
      </c>
      <c r="L49" s="8" t="n">
        <f aca="false">IFERROR(Rohdaten!C49*100/Rohdaten!P49,"–")</f>
        <v>3600</v>
      </c>
      <c r="M49" s="8" t="n">
        <f aca="false">IFERROR(Rohdaten!C49*100/Rohdaten!Q49,"–")</f>
        <v>9000</v>
      </c>
      <c r="N49" s="8" t="n">
        <f aca="false">IFERROR(Rohdaten!C49*100/Rohdaten!R49,"–")</f>
        <v>900</v>
      </c>
      <c r="O49" s="8" t="n">
        <f aca="false">IFERROR(Rohdaten!C49*100/Rohdaten!S49,"–")</f>
        <v>3600</v>
      </c>
      <c r="P49" s="9" t="n">
        <f aca="false">IFERROR(Rohdaten!C49*100/Rohdaten!T49,"–")</f>
        <v>22.5</v>
      </c>
      <c r="Q49" s="9" t="str">
        <f aca="false">IFERROR(Rohdaten!C49*100/Rohdaten!U49,"–")</f>
        <v>–</v>
      </c>
      <c r="R49" s="8" t="n">
        <f aca="false">IFERROR(Rohdaten!C49*100/Rohdaten!V49,"–")</f>
        <v>18</v>
      </c>
      <c r="S49" s="8" t="n">
        <f aca="false">IFERROR(Rohdaten!C49*100/Rohdaten!W49,"–")</f>
        <v>600</v>
      </c>
      <c r="T49" s="8" t="n">
        <f aca="false">IFERROR(Rohdaten!C49*100/Rohdaten!X49,"–")</f>
        <v>18</v>
      </c>
      <c r="U49" s="8" t="n">
        <f aca="false">IFERROR(Rohdaten!C49*100/Rohdaten!Y49,"–")</f>
        <v>1800</v>
      </c>
      <c r="V49" s="8" t="n">
        <f aca="false">IFERROR(Rohdaten!C49*100/Rohdaten!Z49,"–")</f>
        <v>2</v>
      </c>
    </row>
    <row r="50" customFormat="false" ht="15" hidden="false" customHeight="true" outlineLevel="0" collapsed="false">
      <c r="A50" s="4" t="str">
        <f aca="false">Rohdaten!A50</f>
        <v>Ananas, per Flugzeug</v>
      </c>
      <c r="B50" s="8" t="n">
        <f aca="false">Rohdaten!C50</f>
        <v>15.1</v>
      </c>
      <c r="C50" s="8" t="n">
        <f aca="false">IFERROR(Rohdaten!C50*100/Rohdaten!G50,"–")</f>
        <v>30.2</v>
      </c>
      <c r="D50" s="8" t="n">
        <f aca="false">IFERROR(Rohdaten!C50*100/(Rohdaten!H50*9),"–")</f>
        <v>1677.77777777778</v>
      </c>
      <c r="E50" s="8" t="n">
        <f aca="false">IFERROR(Rohdaten!C50*100/(Rohdaten!I50*4),"–")</f>
        <v>755</v>
      </c>
      <c r="F50" s="8" t="n">
        <f aca="false">IFERROR(Rohdaten!C50*100/(Rohdaten!J50*4),"–")</f>
        <v>29.0384615384615</v>
      </c>
      <c r="G50" s="9" t="n">
        <f aca="false">IFERROR(Rohdaten!C50*100/Rohdaten!K50,"–")</f>
        <v>1510</v>
      </c>
      <c r="H50" s="8" t="n">
        <f aca="false">IFERROR(Rohdaten!C50*100/Rohdaten!L50,"–")</f>
        <v>31.4583333333333</v>
      </c>
      <c r="I50" s="9" t="str">
        <f aca="false">IFERROR(Rohdaten!C50*100/Rohdaten!M50,"–")</f>
        <v>–</v>
      </c>
      <c r="J50" s="8" t="n">
        <f aca="false">IFERROR(Rohdaten!C50*100/Rohdaten!N50,"–")</f>
        <v>75500</v>
      </c>
      <c r="K50" s="9" t="n">
        <f aca="false">IFERROR(Rohdaten!C50*100/Rohdaten!O50,"–")</f>
        <v>2157.14285714286</v>
      </c>
      <c r="L50" s="8" t="n">
        <f aca="false">IFERROR(Rohdaten!C50*100/Rohdaten!P50,"–")</f>
        <v>18875</v>
      </c>
      <c r="M50" s="8" t="n">
        <f aca="false">IFERROR(Rohdaten!C50*100/Rohdaten!Q50,"–")</f>
        <v>50333.3333333333</v>
      </c>
      <c r="N50" s="8" t="n">
        <f aca="false">IFERROR(Rohdaten!C50*100/Rohdaten!R50,"–")</f>
        <v>5033.33333333333</v>
      </c>
      <c r="O50" s="8" t="n">
        <f aca="false">IFERROR(Rohdaten!C50*100/Rohdaten!S50,"–")</f>
        <v>16777.7777777778</v>
      </c>
      <c r="P50" s="9" t="n">
        <f aca="false">IFERROR(Rohdaten!C50*100/Rohdaten!T50,"–")</f>
        <v>83.8888888888889</v>
      </c>
      <c r="Q50" s="9" t="str">
        <f aca="false">IFERROR(Rohdaten!C50*100/Rohdaten!U50,"–")</f>
        <v>–</v>
      </c>
      <c r="R50" s="8" t="n">
        <f aca="false">IFERROR(Rohdaten!C50*100/Rohdaten!V50,"–")</f>
        <v>116.153846153846</v>
      </c>
      <c r="S50" s="8" t="n">
        <f aca="false">IFERROR(Rohdaten!C50*100/Rohdaten!W50,"–")</f>
        <v>5033.33333333333</v>
      </c>
      <c r="T50" s="8" t="n">
        <f aca="false">IFERROR(Rohdaten!C50*100/Rohdaten!X50,"–")</f>
        <v>125.833333333333</v>
      </c>
      <c r="U50" s="8" t="n">
        <f aca="false">IFERROR(Rohdaten!C50*100/Rohdaten!Y50,"–")</f>
        <v>15100</v>
      </c>
      <c r="V50" s="8" t="n">
        <f aca="false">IFERROR(Rohdaten!C50*100/Rohdaten!Z50,"–")</f>
        <v>13.7272727272727</v>
      </c>
    </row>
    <row r="51" customFormat="false" ht="15" hidden="false" customHeight="true" outlineLevel="0" collapsed="false">
      <c r="A51" s="4" t="str">
        <f aca="false">Rohdaten!A51</f>
        <v>Apfel, Durchschnitt</v>
      </c>
      <c r="B51" s="8" t="n">
        <f aca="false">Rohdaten!C51</f>
        <v>0.3</v>
      </c>
      <c r="C51" s="8" t="n">
        <f aca="false">IFERROR(Rohdaten!C51*100/Rohdaten!G51,"–")</f>
        <v>0.576923076923077</v>
      </c>
      <c r="D51" s="8" t="n">
        <f aca="false">IFERROR(Rohdaten!C51*100/(Rohdaten!H51*9),"–")</f>
        <v>16.6666666666667</v>
      </c>
      <c r="E51" s="8" t="n">
        <f aca="false">IFERROR(Rohdaten!C51*100/(Rohdaten!I51*4),"–")</f>
        <v>25</v>
      </c>
      <c r="F51" s="8" t="n">
        <f aca="false">IFERROR(Rohdaten!C51*100/(Rohdaten!J51*4),"–")</f>
        <v>0.535714285714286</v>
      </c>
      <c r="G51" s="9" t="n">
        <f aca="false">IFERROR(Rohdaten!C51*100/Rohdaten!K51,"–")</f>
        <v>10</v>
      </c>
      <c r="H51" s="8" t="n">
        <f aca="false">IFERROR(Rohdaten!C51*100/Rohdaten!L51,"–")</f>
        <v>6</v>
      </c>
      <c r="I51" s="9" t="str">
        <f aca="false">IFERROR(Rohdaten!C51*100/Rohdaten!M51,"–")</f>
        <v>–</v>
      </c>
      <c r="J51" s="8" t="n">
        <f aca="false">IFERROR(Rohdaten!C51*100/Rohdaten!N51,"–")</f>
        <v>150</v>
      </c>
      <c r="K51" s="9" t="n">
        <f aca="false">IFERROR(Rohdaten!C51*100/Rohdaten!O51,"–")</f>
        <v>13.6363636363636</v>
      </c>
      <c r="L51" s="8" t="n">
        <f aca="false">IFERROR(Rohdaten!C51*100/Rohdaten!P51,"–")</f>
        <v>1500</v>
      </c>
      <c r="M51" s="8" t="n">
        <f aca="false">IFERROR(Rohdaten!C51*100/Rohdaten!Q51,"–")</f>
        <v>1500</v>
      </c>
      <c r="N51" s="8" t="n">
        <f aca="false">IFERROR(Rohdaten!C51*100/Rohdaten!R51,"–")</f>
        <v>300</v>
      </c>
      <c r="O51" s="8" t="n">
        <f aca="false">IFERROR(Rohdaten!C51*100/Rohdaten!S51,"–")</f>
        <v>750</v>
      </c>
      <c r="P51" s="9" t="n">
        <f aca="false">IFERROR(Rohdaten!C51*100/Rohdaten!T51,"–")</f>
        <v>10</v>
      </c>
      <c r="Q51" s="9" t="str">
        <f aca="false">IFERROR(Rohdaten!C51*100/Rohdaten!U51,"–")</f>
        <v>–</v>
      </c>
      <c r="R51" s="8" t="n">
        <f aca="false">IFERROR(Rohdaten!C51*100/Rohdaten!V51,"–")</f>
        <v>5</v>
      </c>
      <c r="S51" s="8" t="n">
        <f aca="false">IFERROR(Rohdaten!C51*100/Rohdaten!W51,"–")</f>
        <v>300</v>
      </c>
      <c r="T51" s="8" t="n">
        <f aca="false">IFERROR(Rohdaten!C51*100/Rohdaten!X51,"–")</f>
        <v>6</v>
      </c>
      <c r="U51" s="8" t="n">
        <f aca="false">IFERROR(Rohdaten!C51*100/Rohdaten!Y51,"–")</f>
        <v>750</v>
      </c>
      <c r="V51" s="8" t="n">
        <f aca="false">IFERROR(Rohdaten!C51*100/Rohdaten!Z51,"–")</f>
        <v>0.272727272727273</v>
      </c>
    </row>
    <row r="52" customFormat="false" ht="15" hidden="false" customHeight="true" outlineLevel="0" collapsed="false">
      <c r="A52" s="4" t="str">
        <f aca="false">Rohdaten!A52</f>
        <v>Apfel (Bio)</v>
      </c>
      <c r="B52" s="8" t="n">
        <f aca="false">Rohdaten!C52</f>
        <v>0.2</v>
      </c>
      <c r="C52" s="8" t="n">
        <f aca="false">IFERROR(Rohdaten!C52*100/Rohdaten!G52,"–")</f>
        <v>0.384615384615385</v>
      </c>
      <c r="D52" s="8" t="n">
        <f aca="false">IFERROR(Rohdaten!C52*100/(Rohdaten!H52*9),"–")</f>
        <v>11.1111111111111</v>
      </c>
      <c r="E52" s="8" t="n">
        <f aca="false">IFERROR(Rohdaten!C52*100/(Rohdaten!I52*4),"–")</f>
        <v>16.6666666666667</v>
      </c>
      <c r="F52" s="8" t="n">
        <f aca="false">IFERROR(Rohdaten!C52*100/(Rohdaten!J52*4),"–")</f>
        <v>0.357142857142857</v>
      </c>
      <c r="G52" s="9" t="n">
        <f aca="false">IFERROR(Rohdaten!C52*100/Rohdaten!K52,"–")</f>
        <v>6.66666666666667</v>
      </c>
      <c r="H52" s="8" t="n">
        <f aca="false">IFERROR(Rohdaten!C52*100/Rohdaten!L52,"–")</f>
        <v>4</v>
      </c>
      <c r="I52" s="9" t="str">
        <f aca="false">IFERROR(Rohdaten!C52*100/Rohdaten!M52,"–")</f>
        <v>–</v>
      </c>
      <c r="J52" s="8" t="n">
        <f aca="false">IFERROR(Rohdaten!C52*100/Rohdaten!N52,"–")</f>
        <v>100</v>
      </c>
      <c r="K52" s="9" t="n">
        <f aca="false">IFERROR(Rohdaten!C52*100/Rohdaten!O52,"–")</f>
        <v>9.09090909090909</v>
      </c>
      <c r="L52" s="8" t="n">
        <f aca="false">IFERROR(Rohdaten!C52*100/Rohdaten!P52,"–")</f>
        <v>1000</v>
      </c>
      <c r="M52" s="8" t="n">
        <f aca="false">IFERROR(Rohdaten!C52*100/Rohdaten!Q52,"–")</f>
        <v>1000</v>
      </c>
      <c r="N52" s="8" t="n">
        <f aca="false">IFERROR(Rohdaten!C52*100/Rohdaten!R52,"–")</f>
        <v>200</v>
      </c>
      <c r="O52" s="8" t="n">
        <f aca="false">IFERROR(Rohdaten!C52*100/Rohdaten!S52,"–")</f>
        <v>500</v>
      </c>
      <c r="P52" s="9" t="n">
        <f aca="false">IFERROR(Rohdaten!C52*100/Rohdaten!T52,"–")</f>
        <v>6.66666666666667</v>
      </c>
      <c r="Q52" s="9" t="str">
        <f aca="false">IFERROR(Rohdaten!C52*100/Rohdaten!U52,"–")</f>
        <v>–</v>
      </c>
      <c r="R52" s="8" t="n">
        <f aca="false">IFERROR(Rohdaten!C52*100/Rohdaten!V52,"–")</f>
        <v>3.33333333333333</v>
      </c>
      <c r="S52" s="8" t="n">
        <f aca="false">IFERROR(Rohdaten!C52*100/Rohdaten!W52,"–")</f>
        <v>200</v>
      </c>
      <c r="T52" s="8" t="n">
        <f aca="false">IFERROR(Rohdaten!C52*100/Rohdaten!X52,"–")</f>
        <v>4</v>
      </c>
      <c r="U52" s="8" t="n">
        <f aca="false">IFERROR(Rohdaten!C52*100/Rohdaten!Y52,"–")</f>
        <v>500</v>
      </c>
      <c r="V52" s="8" t="n">
        <f aca="false">IFERROR(Rohdaten!C52*100/Rohdaten!Z52,"–")</f>
        <v>0.181818181818182</v>
      </c>
    </row>
    <row r="53" customFormat="false" ht="15" hidden="false" customHeight="true" outlineLevel="0" collapsed="false">
      <c r="A53" s="4" t="str">
        <f aca="false">Rohdaten!A53</f>
        <v>Avocado, Durchschnitt</v>
      </c>
      <c r="B53" s="8" t="n">
        <f aca="false">Rohdaten!C53</f>
        <v>0.6</v>
      </c>
      <c r="C53" s="8" t="n">
        <f aca="false">IFERROR(Rohdaten!C53*100/Rohdaten!G53,"–")</f>
        <v>0.375</v>
      </c>
      <c r="D53" s="8" t="n">
        <f aca="false">IFERROR(Rohdaten!C53*100/(Rohdaten!H53*9),"–")</f>
        <v>0.444444444444444</v>
      </c>
      <c r="E53" s="8" t="n">
        <f aca="false">IFERROR(Rohdaten!C53*100/(Rohdaten!I53*4),"–")</f>
        <v>7.5</v>
      </c>
      <c r="F53" s="8" t="n">
        <f aca="false">IFERROR(Rohdaten!C53*100/(Rohdaten!J53*4),"–")</f>
        <v>1.66666666666667</v>
      </c>
      <c r="G53" s="9" t="n">
        <f aca="false">IFERROR(Rohdaten!C53*100/Rohdaten!K53,"–")</f>
        <v>8.57142857142857</v>
      </c>
      <c r="H53" s="8" t="n">
        <f aca="false">IFERROR(Rohdaten!C53*100/Rohdaten!L53,"–")</f>
        <v>6</v>
      </c>
      <c r="I53" s="9" t="str">
        <f aca="false">IFERROR(Rohdaten!C53*100/Rohdaten!M53,"–")</f>
        <v>–</v>
      </c>
      <c r="J53" s="8" t="n">
        <f aca="false">IFERROR(Rohdaten!C53*100/Rohdaten!N53,"–")</f>
        <v>28.5714285714286</v>
      </c>
      <c r="K53" s="9" t="n">
        <f aca="false">IFERROR(Rohdaten!C53*100/Rohdaten!O53,"–")</f>
        <v>2.85714285714286</v>
      </c>
      <c r="L53" s="8" t="n">
        <f aca="false">IFERROR(Rohdaten!C53*100/Rohdaten!P53,"–")</f>
        <v>857.142857142857</v>
      </c>
      <c r="M53" s="8" t="n">
        <f aca="false">IFERROR(Rohdaten!C53*100/Rohdaten!Q53,"–")</f>
        <v>461.538461538462</v>
      </c>
      <c r="N53" s="8" t="n">
        <f aca="false">IFERROR(Rohdaten!C53*100/Rohdaten!R53,"–")</f>
        <v>35.2941176470588</v>
      </c>
      <c r="O53" s="8" t="n">
        <f aca="false">IFERROR(Rohdaten!C53*100/Rohdaten!S53,"–")</f>
        <v>230.769230769231</v>
      </c>
      <c r="P53" s="9" t="n">
        <f aca="false">IFERROR(Rohdaten!C53*100/Rohdaten!T53,"–")</f>
        <v>0.740740740740741</v>
      </c>
      <c r="Q53" s="9" t="str">
        <f aca="false">IFERROR(Rohdaten!C53*100/Rohdaten!U53,"–")</f>
        <v>–</v>
      </c>
      <c r="R53" s="8" t="n">
        <f aca="false">IFERROR(Rohdaten!C53*100/Rohdaten!V53,"–")</f>
        <v>5</v>
      </c>
      <c r="S53" s="8" t="n">
        <f aca="false">IFERROR(Rohdaten!C53*100/Rohdaten!W53,"–")</f>
        <v>100</v>
      </c>
      <c r="T53" s="8" t="n">
        <f aca="false">IFERROR(Rohdaten!C53*100/Rohdaten!X53,"–")</f>
        <v>2.06896551724138</v>
      </c>
      <c r="U53" s="8" t="n">
        <f aca="false">IFERROR(Rohdaten!C53*100/Rohdaten!Y53,"–")</f>
        <v>100</v>
      </c>
      <c r="V53" s="8" t="n">
        <f aca="false">IFERROR(Rohdaten!C53*100/Rohdaten!Z53,"–")</f>
        <v>0.123711340206186</v>
      </c>
    </row>
    <row r="54" customFormat="false" ht="15" hidden="false" customHeight="true" outlineLevel="0" collapsed="false">
      <c r="A54" s="4" t="str">
        <f aca="false">Rohdaten!A54</f>
        <v>Avocado (Bio, Peru)</v>
      </c>
      <c r="B54" s="8" t="n">
        <f aca="false">Rohdaten!C54</f>
        <v>0.8</v>
      </c>
      <c r="C54" s="8" t="n">
        <f aca="false">IFERROR(Rohdaten!C54*100/Rohdaten!G54,"–")</f>
        <v>0.5</v>
      </c>
      <c r="D54" s="8" t="n">
        <f aca="false">IFERROR(Rohdaten!C54*100/(Rohdaten!H54*9),"–")</f>
        <v>0.592592592592593</v>
      </c>
      <c r="E54" s="8" t="n">
        <f aca="false">IFERROR(Rohdaten!C54*100/(Rohdaten!I54*4),"–")</f>
        <v>10</v>
      </c>
      <c r="F54" s="8" t="n">
        <f aca="false">IFERROR(Rohdaten!C54*100/(Rohdaten!J54*4),"–")</f>
        <v>2.22222222222222</v>
      </c>
      <c r="G54" s="9" t="n">
        <f aca="false">IFERROR(Rohdaten!C54*100/Rohdaten!K54,"–")</f>
        <v>11.4285714285714</v>
      </c>
      <c r="H54" s="8" t="n">
        <f aca="false">IFERROR(Rohdaten!C54*100/Rohdaten!L54,"–")</f>
        <v>8</v>
      </c>
      <c r="I54" s="9" t="str">
        <f aca="false">IFERROR(Rohdaten!C54*100/Rohdaten!M54,"–")</f>
        <v>–</v>
      </c>
      <c r="J54" s="8" t="n">
        <f aca="false">IFERROR(Rohdaten!C54*100/Rohdaten!N54,"–")</f>
        <v>38.0952380952381</v>
      </c>
      <c r="K54" s="9" t="n">
        <f aca="false">IFERROR(Rohdaten!C54*100/Rohdaten!O54,"–")</f>
        <v>3.80952380952381</v>
      </c>
      <c r="L54" s="8" t="n">
        <f aca="false">IFERROR(Rohdaten!C54*100/Rohdaten!P54,"–")</f>
        <v>1142.85714285714</v>
      </c>
      <c r="M54" s="8" t="n">
        <f aca="false">IFERROR(Rohdaten!C54*100/Rohdaten!Q54,"–")</f>
        <v>615.384615384615</v>
      </c>
      <c r="N54" s="8" t="n">
        <f aca="false">IFERROR(Rohdaten!C54*100/Rohdaten!R54,"–")</f>
        <v>47.0588235294118</v>
      </c>
      <c r="O54" s="8" t="n">
        <f aca="false">IFERROR(Rohdaten!C54*100/Rohdaten!S54,"–")</f>
        <v>307.692307692308</v>
      </c>
      <c r="P54" s="9" t="n">
        <f aca="false">IFERROR(Rohdaten!C54*100/Rohdaten!T54,"–")</f>
        <v>0.987654320987654</v>
      </c>
      <c r="Q54" s="9" t="str">
        <f aca="false">IFERROR(Rohdaten!C54*100/Rohdaten!U54,"–")</f>
        <v>–</v>
      </c>
      <c r="R54" s="8" t="n">
        <f aca="false">IFERROR(Rohdaten!C54*100/Rohdaten!V54,"–")</f>
        <v>6.66666666666667</v>
      </c>
      <c r="S54" s="8" t="n">
        <f aca="false">IFERROR(Rohdaten!C54*100/Rohdaten!W54,"–")</f>
        <v>133.333333333333</v>
      </c>
      <c r="T54" s="8" t="n">
        <f aca="false">IFERROR(Rohdaten!C54*100/Rohdaten!X54,"–")</f>
        <v>2.75862068965517</v>
      </c>
      <c r="U54" s="8" t="n">
        <f aca="false">IFERROR(Rohdaten!C54*100/Rohdaten!Y54,"–")</f>
        <v>133.333333333333</v>
      </c>
      <c r="V54" s="8" t="n">
        <f aca="false">IFERROR(Rohdaten!C54*100/Rohdaten!Z54,"–")</f>
        <v>0.164948453608247</v>
      </c>
    </row>
    <row r="55" customFormat="false" ht="15" hidden="false" customHeight="true" outlineLevel="0" collapsed="false">
      <c r="A55" s="4" t="str">
        <f aca="false">Rohdaten!A55</f>
        <v>Banane, frisch</v>
      </c>
      <c r="B55" s="8" t="n">
        <f aca="false">Rohdaten!C55</f>
        <v>0.6</v>
      </c>
      <c r="C55" s="8" t="n">
        <f aca="false">IFERROR(Rohdaten!C55*100/Rohdaten!G55,"–")</f>
        <v>0.674157303370787</v>
      </c>
      <c r="D55" s="8" t="n">
        <f aca="false">IFERROR(Rohdaten!C55*100/(Rohdaten!H55*9),"–")</f>
        <v>22.2222222222222</v>
      </c>
      <c r="E55" s="8" t="n">
        <f aca="false">IFERROR(Rohdaten!C55*100/(Rohdaten!I55*4),"–")</f>
        <v>13.6363636363636</v>
      </c>
      <c r="F55" s="8" t="n">
        <f aca="false">IFERROR(Rohdaten!C55*100/(Rohdaten!J55*4),"–")</f>
        <v>0.652173913043478</v>
      </c>
      <c r="G55" s="9" t="n">
        <f aca="false">IFERROR(Rohdaten!C55*100/Rohdaten!K55,"–")</f>
        <v>20</v>
      </c>
      <c r="H55" s="8" t="n">
        <f aca="false">IFERROR(Rohdaten!C55*100/Rohdaten!L55,"–")</f>
        <v>6.66666666666667</v>
      </c>
      <c r="I55" s="9" t="str">
        <f aca="false">IFERROR(Rohdaten!C55*100/Rohdaten!M55,"–")</f>
        <v>–</v>
      </c>
      <c r="J55" s="8" t="n">
        <f aca="false">IFERROR(Rohdaten!C55*100/Rohdaten!N55,"–")</f>
        <v>600</v>
      </c>
      <c r="K55" s="9" t="n">
        <f aca="false">IFERROR(Rohdaten!C55*100/Rohdaten!O55,"–")</f>
        <v>120</v>
      </c>
      <c r="L55" s="8" t="n">
        <f aca="false">IFERROR(Rohdaten!C55*100/Rohdaten!P55,"–")</f>
        <v>2000</v>
      </c>
      <c r="M55" s="8" t="n">
        <f aca="false">IFERROR(Rohdaten!C55*100/Rohdaten!Q55,"–")</f>
        <v>857.142857142857</v>
      </c>
      <c r="N55" s="8" t="n">
        <f aca="false">IFERROR(Rohdaten!C55*100/Rohdaten!R55,"–")</f>
        <v>85.7142857142857</v>
      </c>
      <c r="O55" s="8" t="n">
        <f aca="false">IFERROR(Rohdaten!C55*100/Rohdaten!S55,"–")</f>
        <v>150</v>
      </c>
      <c r="P55" s="9" t="n">
        <f aca="false">IFERROR(Rohdaten!C55*100/Rohdaten!T55,"–")</f>
        <v>3</v>
      </c>
      <c r="Q55" s="9" t="str">
        <f aca="false">IFERROR(Rohdaten!C55*100/Rohdaten!U55,"–")</f>
        <v>–</v>
      </c>
      <c r="R55" s="8" t="n">
        <f aca="false">IFERROR(Rohdaten!C55*100/Rohdaten!V55,"–")</f>
        <v>12</v>
      </c>
      <c r="S55" s="8" t="n">
        <f aca="false">IFERROR(Rohdaten!C55*100/Rohdaten!W55,"–")</f>
        <v>200</v>
      </c>
      <c r="T55" s="8" t="n">
        <f aca="false">IFERROR(Rohdaten!C55*100/Rohdaten!X55,"–")</f>
        <v>2.22222222222222</v>
      </c>
      <c r="U55" s="8" t="n">
        <f aca="false">IFERROR(Rohdaten!C55*100/Rohdaten!Y55,"–")</f>
        <v>400</v>
      </c>
      <c r="V55" s="8" t="n">
        <f aca="false">IFERROR(Rohdaten!C55*100/Rohdaten!Z55,"–")</f>
        <v>0.166666666666667</v>
      </c>
    </row>
    <row r="56" customFormat="false" ht="15" hidden="false" customHeight="true" outlineLevel="0" collapsed="false">
      <c r="A56" s="4" t="str">
        <f aca="false">Rohdaten!A56</f>
        <v>Birne</v>
      </c>
      <c r="B56" s="8" t="n">
        <f aca="false">Rohdaten!C56</f>
        <v>0.3</v>
      </c>
      <c r="C56" s="8" t="n">
        <f aca="false">IFERROR(Rohdaten!C56*100/Rohdaten!G56,"–")</f>
        <v>0.526315789473684</v>
      </c>
      <c r="D56" s="8" t="n">
        <f aca="false">IFERROR(Rohdaten!C56*100/(Rohdaten!H56*9),"–")</f>
        <v>33.3333333333333</v>
      </c>
      <c r="E56" s="8" t="n">
        <f aca="false">IFERROR(Rohdaten!C56*100/(Rohdaten!I56*4),"–")</f>
        <v>18.75</v>
      </c>
      <c r="F56" s="8" t="n">
        <f aca="false">IFERROR(Rohdaten!C56*100/(Rohdaten!J56*4),"–")</f>
        <v>0.5</v>
      </c>
      <c r="G56" s="9" t="n">
        <f aca="false">IFERROR(Rohdaten!C56*100/Rohdaten!K56,"–")</f>
        <v>30</v>
      </c>
      <c r="H56" s="8" t="n">
        <f aca="false">IFERROR(Rohdaten!C56*100/Rohdaten!L56,"–")</f>
        <v>6.97674418604651</v>
      </c>
      <c r="I56" s="9" t="str">
        <f aca="false">IFERROR(Rohdaten!C56*100/Rohdaten!M56,"–")</f>
        <v>–</v>
      </c>
      <c r="J56" s="8" t="n">
        <f aca="false">IFERROR(Rohdaten!C56*100/Rohdaten!N56,"–")</f>
        <v>300</v>
      </c>
      <c r="K56" s="9" t="n">
        <f aca="false">IFERROR(Rohdaten!C56*100/Rohdaten!O56,"–")</f>
        <v>6.66666666666667</v>
      </c>
      <c r="L56" s="8" t="n">
        <f aca="false">IFERROR(Rohdaten!C56*100/Rohdaten!P56,"–")</f>
        <v>3000</v>
      </c>
      <c r="M56" s="8" t="n">
        <f aca="false">IFERROR(Rohdaten!C56*100/Rohdaten!Q56,"–")</f>
        <v>1000</v>
      </c>
      <c r="N56" s="8" t="n">
        <f aca="false">IFERROR(Rohdaten!C56*100/Rohdaten!R56,"–")</f>
        <v>150</v>
      </c>
      <c r="O56" s="8" t="n">
        <f aca="false">IFERROR(Rohdaten!C56*100/Rohdaten!S56,"–")</f>
        <v>1000</v>
      </c>
      <c r="P56" s="9" t="n">
        <f aca="false">IFERROR(Rohdaten!C56*100/Rohdaten!T56,"–")</f>
        <v>4.28571428571429</v>
      </c>
      <c r="Q56" s="9" t="str">
        <f aca="false">IFERROR(Rohdaten!C56*100/Rohdaten!U56,"–")</f>
        <v>–</v>
      </c>
      <c r="R56" s="8" t="n">
        <f aca="false">IFERROR(Rohdaten!C56*100/Rohdaten!V56,"–")</f>
        <v>3.33333333333333</v>
      </c>
      <c r="S56" s="8" t="n">
        <f aca="false">IFERROR(Rohdaten!C56*100/Rohdaten!W56,"–")</f>
        <v>150</v>
      </c>
      <c r="T56" s="8" t="n">
        <f aca="false">IFERROR(Rohdaten!C56*100/Rohdaten!X56,"–")</f>
        <v>4.28571428571429</v>
      </c>
      <c r="U56" s="8" t="n">
        <f aca="false">IFERROR(Rohdaten!C56*100/Rohdaten!Y56,"–")</f>
        <v>300</v>
      </c>
      <c r="V56" s="8" t="n">
        <f aca="false">IFERROR(Rohdaten!C56*100/Rohdaten!Z56,"–")</f>
        <v>0.25</v>
      </c>
    </row>
    <row r="57" customFormat="false" ht="15" hidden="false" customHeight="true" outlineLevel="0" collapsed="false">
      <c r="A57" s="4" t="str">
        <f aca="false">Rohdaten!A57</f>
        <v>Erdbeeren, Saison (DE)</v>
      </c>
      <c r="B57" s="8" t="n">
        <f aca="false">Rohdaten!C57</f>
        <v>0.3</v>
      </c>
      <c r="C57" s="8" t="n">
        <f aca="false">IFERROR(Rohdaten!C57*100/Rohdaten!G57,"–")</f>
        <v>0.9375</v>
      </c>
      <c r="D57" s="8" t="n">
        <f aca="false">IFERROR(Rohdaten!C57*100/(Rohdaten!H57*9),"–")</f>
        <v>11.1111111111111</v>
      </c>
      <c r="E57" s="8" t="n">
        <f aca="false">IFERROR(Rohdaten!C57*100/(Rohdaten!I57*4),"–")</f>
        <v>10.7142857142857</v>
      </c>
      <c r="F57" s="8" t="n">
        <f aca="false">IFERROR(Rohdaten!C57*100/(Rohdaten!J57*4),"–")</f>
        <v>0.9375</v>
      </c>
      <c r="G57" s="9" t="n">
        <f aca="false">IFERROR(Rohdaten!C57*100/Rohdaten!K57,"–")</f>
        <v>30</v>
      </c>
      <c r="H57" s="8" t="n">
        <f aca="false">IFERROR(Rohdaten!C57*100/Rohdaten!L57,"–")</f>
        <v>0.508474576271186</v>
      </c>
      <c r="I57" s="9" t="str">
        <f aca="false">IFERROR(Rohdaten!C57*100/Rohdaten!M57,"–")</f>
        <v>–</v>
      </c>
      <c r="J57" s="8" t="n">
        <f aca="false">IFERROR(Rohdaten!C57*100/Rohdaten!N57,"–")</f>
        <v>100</v>
      </c>
      <c r="K57" s="9" t="n">
        <f aca="false">IFERROR(Rohdaten!C57*100/Rohdaten!O57,"–")</f>
        <v>13.6363636363636</v>
      </c>
      <c r="L57" s="8" t="n">
        <f aca="false">IFERROR(Rohdaten!C57*100/Rohdaten!P57,"–")</f>
        <v>1500</v>
      </c>
      <c r="M57" s="8" t="n">
        <f aca="false">IFERROR(Rohdaten!C57*100/Rohdaten!Q57,"–")</f>
        <v>1500</v>
      </c>
      <c r="N57" s="8" t="n">
        <f aca="false">IFERROR(Rohdaten!C57*100/Rohdaten!R57,"–")</f>
        <v>75</v>
      </c>
      <c r="O57" s="8" t="n">
        <f aca="false">IFERROR(Rohdaten!C57*100/Rohdaten!S57,"–")</f>
        <v>600</v>
      </c>
      <c r="P57" s="9" t="n">
        <f aca="false">IFERROR(Rohdaten!C57*100/Rohdaten!T57,"–")</f>
        <v>1.25</v>
      </c>
      <c r="Q57" s="9" t="str">
        <f aca="false">IFERROR(Rohdaten!C57*100/Rohdaten!U57,"–")</f>
        <v>–</v>
      </c>
      <c r="R57" s="8" t="n">
        <f aca="false">IFERROR(Rohdaten!C57*100/Rohdaten!V57,"–")</f>
        <v>1.875</v>
      </c>
      <c r="S57" s="8" t="n">
        <f aca="false">IFERROR(Rohdaten!C57*100/Rohdaten!W57,"–")</f>
        <v>75</v>
      </c>
      <c r="T57" s="8" t="n">
        <f aca="false">IFERROR(Rohdaten!C57*100/Rohdaten!X57,"–")</f>
        <v>2.30769230769231</v>
      </c>
      <c r="U57" s="8" t="n">
        <f aca="false">IFERROR(Rohdaten!C57*100/Rohdaten!Y57,"–")</f>
        <v>300</v>
      </c>
      <c r="V57" s="8" t="n">
        <f aca="false">IFERROR(Rohdaten!C57*100/Rohdaten!Z57,"–")</f>
        <v>0.2</v>
      </c>
    </row>
    <row r="58" customFormat="false" ht="15" hidden="false" customHeight="true" outlineLevel="0" collapsed="false">
      <c r="A58" s="4" t="str">
        <f aca="false">Rohdaten!A58</f>
        <v>Erdbeeren, Winterware</v>
      </c>
      <c r="B58" s="8" t="n">
        <f aca="false">Rohdaten!C58</f>
        <v>3.4</v>
      </c>
      <c r="C58" s="8" t="n">
        <f aca="false">IFERROR(Rohdaten!C58*100/Rohdaten!G58,"–")</f>
        <v>10.625</v>
      </c>
      <c r="D58" s="8" t="n">
        <f aca="false">IFERROR(Rohdaten!C58*100/(Rohdaten!H58*9),"–")</f>
        <v>125.925925925926</v>
      </c>
      <c r="E58" s="8" t="n">
        <f aca="false">IFERROR(Rohdaten!C58*100/(Rohdaten!I58*4),"–")</f>
        <v>121.428571428571</v>
      </c>
      <c r="F58" s="8" t="n">
        <f aca="false">IFERROR(Rohdaten!C58*100/(Rohdaten!J58*4),"–")</f>
        <v>10.625</v>
      </c>
      <c r="G58" s="9" t="n">
        <f aca="false">IFERROR(Rohdaten!C58*100/Rohdaten!K58,"–")</f>
        <v>340</v>
      </c>
      <c r="H58" s="8" t="n">
        <f aca="false">IFERROR(Rohdaten!C58*100/Rohdaten!L58,"–")</f>
        <v>6.8</v>
      </c>
      <c r="I58" s="9" t="str">
        <f aca="false">IFERROR(Rohdaten!C58*100/Rohdaten!M58,"–")</f>
        <v>–</v>
      </c>
      <c r="J58" s="8" t="n">
        <f aca="false">IFERROR(Rohdaten!C58*100/Rohdaten!N58,"–")</f>
        <v>1133.33333333333</v>
      </c>
      <c r="K58" s="9" t="n">
        <f aca="false">IFERROR(Rohdaten!C58*100/Rohdaten!O58,"–")</f>
        <v>154.545454545455</v>
      </c>
      <c r="L58" s="8" t="n">
        <f aca="false">IFERROR(Rohdaten!C58*100/Rohdaten!P58,"–")</f>
        <v>17000</v>
      </c>
      <c r="M58" s="8" t="n">
        <f aca="false">IFERROR(Rohdaten!C58*100/Rohdaten!Q58,"–")</f>
        <v>17000</v>
      </c>
      <c r="N58" s="8" t="n">
        <f aca="false">IFERROR(Rohdaten!C58*100/Rohdaten!R58,"–")</f>
        <v>850</v>
      </c>
      <c r="O58" s="8" t="n">
        <f aca="false">IFERROR(Rohdaten!C58*100/Rohdaten!S58,"–")</f>
        <v>6800</v>
      </c>
      <c r="P58" s="9" t="n">
        <f aca="false">IFERROR(Rohdaten!C58*100/Rohdaten!T58,"–")</f>
        <v>17</v>
      </c>
      <c r="Q58" s="9" t="str">
        <f aca="false">IFERROR(Rohdaten!C58*100/Rohdaten!U58,"–")</f>
        <v>–</v>
      </c>
      <c r="R58" s="8" t="n">
        <f aca="false">IFERROR(Rohdaten!C58*100/Rohdaten!V58,"–")</f>
        <v>21.25</v>
      </c>
      <c r="S58" s="8" t="n">
        <f aca="false">IFERROR(Rohdaten!C58*100/Rohdaten!W58,"–")</f>
        <v>850</v>
      </c>
      <c r="T58" s="8" t="n">
        <f aca="false">IFERROR(Rohdaten!C58*100/Rohdaten!X58,"–")</f>
        <v>26.1538461538462</v>
      </c>
      <c r="U58" s="8" t="n">
        <f aca="false">IFERROR(Rohdaten!C58*100/Rohdaten!Y58,"–")</f>
        <v>3400</v>
      </c>
      <c r="V58" s="8" t="n">
        <f aca="false">IFERROR(Rohdaten!C58*100/Rohdaten!Z58,"–")</f>
        <v>2.26666666666667</v>
      </c>
    </row>
    <row r="59" customFormat="false" ht="15" hidden="false" customHeight="true" outlineLevel="0" collapsed="false">
      <c r="A59" s="4" t="str">
        <f aca="false">Rohdaten!A59</f>
        <v>Erdbeeren, Spanien</v>
      </c>
      <c r="B59" s="8" t="n">
        <f aca="false">Rohdaten!C59</f>
        <v>0.4</v>
      </c>
      <c r="C59" s="8" t="n">
        <f aca="false">IFERROR(Rohdaten!C59*100/Rohdaten!G59,"–")</f>
        <v>1.25</v>
      </c>
      <c r="D59" s="8" t="n">
        <f aca="false">IFERROR(Rohdaten!C59*100/(Rohdaten!H59*9),"–")</f>
        <v>14.8148148148148</v>
      </c>
      <c r="E59" s="8" t="n">
        <f aca="false">IFERROR(Rohdaten!C59*100/(Rohdaten!I59*4),"–")</f>
        <v>14.2857142857143</v>
      </c>
      <c r="F59" s="8" t="n">
        <f aca="false">IFERROR(Rohdaten!C59*100/(Rohdaten!J59*4),"–")</f>
        <v>1.25</v>
      </c>
      <c r="G59" s="9" t="n">
        <f aca="false">IFERROR(Rohdaten!C59*100/Rohdaten!K59,"–")</f>
        <v>40</v>
      </c>
      <c r="H59" s="8" t="n">
        <f aca="false">IFERROR(Rohdaten!C59*100/Rohdaten!L59,"–")</f>
        <v>0.769230769230769</v>
      </c>
      <c r="I59" s="9" t="str">
        <f aca="false">IFERROR(Rohdaten!C59*100/Rohdaten!M59,"–")</f>
        <v>–</v>
      </c>
      <c r="J59" s="8" t="n">
        <f aca="false">IFERROR(Rohdaten!C59*100/Rohdaten!N59,"–")</f>
        <v>133.333333333333</v>
      </c>
      <c r="K59" s="9" t="n">
        <f aca="false">IFERROR(Rohdaten!C59*100/Rohdaten!O59,"–")</f>
        <v>18.1818181818182</v>
      </c>
      <c r="L59" s="8" t="n">
        <f aca="false">IFERROR(Rohdaten!C59*100/Rohdaten!P59,"–")</f>
        <v>2000</v>
      </c>
      <c r="M59" s="8" t="n">
        <f aca="false">IFERROR(Rohdaten!C59*100/Rohdaten!Q59,"–")</f>
        <v>2000</v>
      </c>
      <c r="N59" s="8" t="n">
        <f aca="false">IFERROR(Rohdaten!C59*100/Rohdaten!R59,"–")</f>
        <v>100</v>
      </c>
      <c r="O59" s="8" t="n">
        <f aca="false">IFERROR(Rohdaten!C59*100/Rohdaten!S59,"–")</f>
        <v>800</v>
      </c>
      <c r="P59" s="9" t="n">
        <f aca="false">IFERROR(Rohdaten!C59*100/Rohdaten!T59,"–")</f>
        <v>1.81818181818182</v>
      </c>
      <c r="Q59" s="9" t="str">
        <f aca="false">IFERROR(Rohdaten!C59*100/Rohdaten!U59,"–")</f>
        <v>–</v>
      </c>
      <c r="R59" s="8" t="n">
        <f aca="false">IFERROR(Rohdaten!C59*100/Rohdaten!V59,"–")</f>
        <v>2.5</v>
      </c>
      <c r="S59" s="8" t="n">
        <f aca="false">IFERROR(Rohdaten!C59*100/Rohdaten!W59,"–")</f>
        <v>100</v>
      </c>
      <c r="T59" s="8" t="n">
        <f aca="false">IFERROR(Rohdaten!C59*100/Rohdaten!X59,"–")</f>
        <v>3.07692307692308</v>
      </c>
      <c r="U59" s="8" t="n">
        <f aca="false">IFERROR(Rohdaten!C59*100/Rohdaten!Y59,"–")</f>
        <v>400</v>
      </c>
      <c r="V59" s="8" t="n">
        <f aca="false">IFERROR(Rohdaten!C59*100/Rohdaten!Z59,"–")</f>
        <v>0.266666666666667</v>
      </c>
    </row>
    <row r="60" customFormat="false" ht="15" hidden="false" customHeight="true" outlineLevel="0" collapsed="false">
      <c r="A60" s="4" t="str">
        <f aca="false">Rohdaten!A60</f>
        <v>Erdbeeren, gefroren</v>
      </c>
      <c r="B60" s="8" t="n">
        <f aca="false">Rohdaten!C60</f>
        <v>0.7</v>
      </c>
      <c r="C60" s="8" t="n">
        <f aca="false">IFERROR(Rohdaten!C60*100/Rohdaten!G60,"–")</f>
        <v>2.33333333333333</v>
      </c>
      <c r="D60" s="8" t="n">
        <f aca="false">IFERROR(Rohdaten!C60*100/(Rohdaten!H60*9),"–")</f>
        <v>25.9259259259259</v>
      </c>
      <c r="E60" s="8" t="n">
        <f aca="false">IFERROR(Rohdaten!C60*100/(Rohdaten!I60*4),"–")</f>
        <v>29.1666666666667</v>
      </c>
      <c r="F60" s="8" t="n">
        <f aca="false">IFERROR(Rohdaten!C60*100/(Rohdaten!J60*4),"–")</f>
        <v>2.5</v>
      </c>
      <c r="G60" s="9" t="n">
        <f aca="false">IFERROR(Rohdaten!C60*100/Rohdaten!K60,"–")</f>
        <v>70</v>
      </c>
      <c r="H60" s="8" t="n">
        <f aca="false">IFERROR(Rohdaten!C60*100/Rohdaten!L60,"–")</f>
        <v>1.75</v>
      </c>
      <c r="I60" s="9" t="str">
        <f aca="false">IFERROR(Rohdaten!C60*100/Rohdaten!M60,"–")</f>
        <v>–</v>
      </c>
      <c r="J60" s="8" t="n">
        <f aca="false">IFERROR(Rohdaten!C60*100/Rohdaten!N60,"–")</f>
        <v>350</v>
      </c>
      <c r="K60" s="9" t="n">
        <f aca="false">IFERROR(Rohdaten!C60*100/Rohdaten!O60,"–")</f>
        <v>35</v>
      </c>
      <c r="L60" s="8" t="n">
        <f aca="false">IFERROR(Rohdaten!C60*100/Rohdaten!P60,"–")</f>
        <v>3500</v>
      </c>
      <c r="M60" s="8" t="n">
        <f aca="false">IFERROR(Rohdaten!C60*100/Rohdaten!Q60,"–")</f>
        <v>3500</v>
      </c>
      <c r="N60" s="8" t="n">
        <f aca="false">IFERROR(Rohdaten!C60*100/Rohdaten!R60,"–")</f>
        <v>233.333333333333</v>
      </c>
      <c r="O60" s="8" t="n">
        <f aca="false">IFERROR(Rohdaten!C60*100/Rohdaten!S60,"–")</f>
        <v>1750</v>
      </c>
      <c r="P60" s="9" t="n">
        <f aca="false">IFERROR(Rohdaten!C60*100/Rohdaten!T60,"–")</f>
        <v>3.5</v>
      </c>
      <c r="Q60" s="9" t="str">
        <f aca="false">IFERROR(Rohdaten!C60*100/Rohdaten!U60,"–")</f>
        <v>–</v>
      </c>
      <c r="R60" s="8" t="n">
        <f aca="false">IFERROR(Rohdaten!C60*100/Rohdaten!V60,"–")</f>
        <v>5</v>
      </c>
      <c r="S60" s="8" t="n">
        <f aca="false">IFERROR(Rohdaten!C60*100/Rohdaten!W60,"–")</f>
        <v>175</v>
      </c>
      <c r="T60" s="8" t="n">
        <f aca="false">IFERROR(Rohdaten!C60*100/Rohdaten!X60,"–")</f>
        <v>5.83333333333333</v>
      </c>
      <c r="U60" s="8" t="n">
        <f aca="false">IFERROR(Rohdaten!C60*100/Rohdaten!Y60,"–")</f>
        <v>700</v>
      </c>
      <c r="V60" s="8" t="n">
        <f aca="false">IFERROR(Rohdaten!C60*100/Rohdaten!Z60,"–")</f>
        <v>0.5</v>
      </c>
    </row>
    <row r="61" customFormat="false" ht="15" hidden="false" customHeight="true" outlineLevel="0" collapsed="false">
      <c r="A61" s="4" t="str">
        <f aca="false">Rohdaten!A61</f>
        <v>Orange (Apfelsine)</v>
      </c>
      <c r="B61" s="8" t="n">
        <f aca="false">Rohdaten!C61</f>
        <v>0.3</v>
      </c>
      <c r="C61" s="8" t="n">
        <f aca="false">IFERROR(Rohdaten!C61*100/Rohdaten!G61,"–")</f>
        <v>0.638297872340426</v>
      </c>
      <c r="D61" s="8" t="n">
        <f aca="false">IFERROR(Rohdaten!C61*100/(Rohdaten!H61*9),"–")</f>
        <v>33.3333333333333</v>
      </c>
      <c r="E61" s="8" t="n">
        <f aca="false">IFERROR(Rohdaten!C61*100/(Rohdaten!I61*4),"–")</f>
        <v>8.33333333333333</v>
      </c>
      <c r="F61" s="8" t="n">
        <f aca="false">IFERROR(Rohdaten!C61*100/(Rohdaten!J61*4),"–")</f>
        <v>0.625</v>
      </c>
      <c r="G61" s="9" t="n">
        <f aca="false">IFERROR(Rohdaten!C61*100/Rohdaten!K61,"–")</f>
        <v>2.72727272727273</v>
      </c>
      <c r="H61" s="8" t="n">
        <f aca="false">IFERROR(Rohdaten!C61*100/Rohdaten!L61,"–")</f>
        <v>0.566037735849057</v>
      </c>
      <c r="I61" s="9" t="str">
        <f aca="false">IFERROR(Rohdaten!C61*100/Rohdaten!M61,"–")</f>
        <v>–</v>
      </c>
      <c r="J61" s="8" t="n">
        <f aca="false">IFERROR(Rohdaten!C61*100/Rohdaten!N61,"–")</f>
        <v>150</v>
      </c>
      <c r="K61" s="9" t="str">
        <f aca="false">IFERROR(Rohdaten!C61*100/Rohdaten!O61,"–")</f>
        <v>–</v>
      </c>
      <c r="L61" s="8" t="n">
        <f aca="false">IFERROR(Rohdaten!C61*100/Rohdaten!P61,"–")</f>
        <v>333.333333333333</v>
      </c>
      <c r="M61" s="8" t="n">
        <f aca="false">IFERROR(Rohdaten!C61*100/Rohdaten!Q61,"–")</f>
        <v>750</v>
      </c>
      <c r="N61" s="8" t="n">
        <f aca="false">IFERROR(Rohdaten!C61*100/Rohdaten!R61,"–")</f>
        <v>100</v>
      </c>
      <c r="O61" s="8" t="n">
        <f aca="false">IFERROR(Rohdaten!C61*100/Rohdaten!S61,"–")</f>
        <v>500</v>
      </c>
      <c r="P61" s="9" t="n">
        <f aca="false">IFERROR(Rohdaten!C61*100/Rohdaten!T61,"–")</f>
        <v>1</v>
      </c>
      <c r="Q61" s="9" t="str">
        <f aca="false">IFERROR(Rohdaten!C61*100/Rohdaten!U61,"–")</f>
        <v>–</v>
      </c>
      <c r="R61" s="8" t="n">
        <f aca="false">IFERROR(Rohdaten!C61*100/Rohdaten!V61,"–")</f>
        <v>0.75</v>
      </c>
      <c r="S61" s="8" t="n">
        <f aca="false">IFERROR(Rohdaten!C61*100/Rohdaten!W61,"–")</f>
        <v>300</v>
      </c>
      <c r="T61" s="8" t="n">
        <f aca="false">IFERROR(Rohdaten!C61*100/Rohdaten!X61,"–")</f>
        <v>3</v>
      </c>
      <c r="U61" s="8" t="n">
        <f aca="false">IFERROR(Rohdaten!C61*100/Rohdaten!Y61,"–")</f>
        <v>428.571428571429</v>
      </c>
      <c r="V61" s="8" t="n">
        <f aca="false">IFERROR(Rohdaten!C61*100/Rohdaten!Z61,"–")</f>
        <v>0.166666666666667</v>
      </c>
    </row>
    <row r="62" customFormat="false" ht="15" hidden="false" customHeight="true" outlineLevel="0" collapsed="false">
      <c r="A62" s="4" t="str">
        <f aca="false">Rohdaten!A62</f>
        <v>Pfirsich, frisch</v>
      </c>
      <c r="B62" s="8" t="n">
        <f aca="false">Rohdaten!C62</f>
        <v>0.2</v>
      </c>
      <c r="C62" s="8" t="n">
        <f aca="false">IFERROR(Rohdaten!C62*100/Rohdaten!G62,"–")</f>
        <v>0.512820512820513</v>
      </c>
      <c r="D62" s="8" t="n">
        <f aca="false">IFERROR(Rohdaten!C62*100/(Rohdaten!H62*9),"–")</f>
        <v>7.40740740740741</v>
      </c>
      <c r="E62" s="8" t="n">
        <f aca="false">IFERROR(Rohdaten!C62*100/(Rohdaten!I62*4),"–")</f>
        <v>5.55555555555556</v>
      </c>
      <c r="F62" s="8" t="n">
        <f aca="false">IFERROR(Rohdaten!C62*100/(Rohdaten!J62*4),"–")</f>
        <v>0.5</v>
      </c>
      <c r="G62" s="9" t="n">
        <f aca="false">IFERROR(Rohdaten!C62*100/Rohdaten!K62,"–")</f>
        <v>1.25</v>
      </c>
      <c r="H62" s="8" t="n">
        <f aca="false">IFERROR(Rohdaten!C62*100/Rohdaten!L62,"–")</f>
        <v>3.03030303030303</v>
      </c>
      <c r="I62" s="9" t="str">
        <f aca="false">IFERROR(Rohdaten!C62*100/Rohdaten!M62,"–")</f>
        <v>–</v>
      </c>
      <c r="J62" s="8" t="n">
        <f aca="false">IFERROR(Rohdaten!C62*100/Rohdaten!N62,"–")</f>
        <v>28.5714285714286</v>
      </c>
      <c r="K62" s="9" t="n">
        <f aca="false">IFERROR(Rohdaten!C62*100/Rohdaten!O62,"–")</f>
        <v>7.69230769230769</v>
      </c>
      <c r="L62" s="8" t="n">
        <f aca="false">IFERROR(Rohdaten!C62*100/Rohdaten!P62,"–")</f>
        <v>1000</v>
      </c>
      <c r="M62" s="8" t="n">
        <f aca="false">IFERROR(Rohdaten!C62*100/Rohdaten!Q62,"–")</f>
        <v>666.666666666667</v>
      </c>
      <c r="N62" s="8" t="n">
        <f aca="false">IFERROR(Rohdaten!C62*100/Rohdaten!R62,"–")</f>
        <v>25</v>
      </c>
      <c r="O62" s="8" t="n">
        <f aca="false">IFERROR(Rohdaten!C62*100/Rohdaten!S62,"–")</f>
        <v>1000</v>
      </c>
      <c r="P62" s="9" t="n">
        <f aca="false">IFERROR(Rohdaten!C62*100/Rohdaten!T62,"–")</f>
        <v>5</v>
      </c>
      <c r="Q62" s="9" t="str">
        <f aca="false">IFERROR(Rohdaten!C62*100/Rohdaten!U62,"–")</f>
        <v>–</v>
      </c>
      <c r="R62" s="8" t="n">
        <f aca="false">IFERROR(Rohdaten!C62*100/Rohdaten!V62,"–")</f>
        <v>3.33333333333333</v>
      </c>
      <c r="S62" s="8" t="n">
        <f aca="false">IFERROR(Rohdaten!C62*100/Rohdaten!W62,"–")</f>
        <v>66.6666666666667</v>
      </c>
      <c r="T62" s="8" t="n">
        <f aca="false">IFERROR(Rohdaten!C62*100/Rohdaten!X62,"–")</f>
        <v>2.22222222222222</v>
      </c>
      <c r="U62" s="8" t="n">
        <f aca="false">IFERROR(Rohdaten!C62*100/Rohdaten!Y62,"–")</f>
        <v>100</v>
      </c>
      <c r="V62" s="8" t="n">
        <f aca="false">IFERROR(Rohdaten!C62*100/Rohdaten!Z62,"–")</f>
        <v>0.105263157894737</v>
      </c>
    </row>
    <row r="63" customFormat="false" ht="15" hidden="false" customHeight="true" outlineLevel="0" collapsed="false">
      <c r="A63" s="4" t="str">
        <f aca="false">Rohdaten!A63</f>
        <v>Pfirsich, Dose</v>
      </c>
      <c r="B63" s="8" t="n">
        <f aca="false">Rohdaten!C63</f>
        <v>1.6</v>
      </c>
      <c r="C63" s="8" t="n">
        <f aca="false">IFERROR(Rohdaten!C63*100/Rohdaten!G63,"–")</f>
        <v>2.90909090909091</v>
      </c>
      <c r="D63" s="8" t="n">
        <f aca="false">IFERROR(Rohdaten!C63*100/(Rohdaten!H63*9),"–")</f>
        <v>177.777777777778</v>
      </c>
      <c r="E63" s="8" t="n">
        <f aca="false">IFERROR(Rohdaten!C63*100/(Rohdaten!I63*4),"–")</f>
        <v>80</v>
      </c>
      <c r="F63" s="8" t="n">
        <f aca="false">IFERROR(Rohdaten!C63*100/(Rohdaten!J63*4),"–")</f>
        <v>2.85714285714286</v>
      </c>
      <c r="G63" s="9" t="n">
        <f aca="false">IFERROR(Rohdaten!C63*100/Rohdaten!K63,"–")</f>
        <v>10.6666666666667</v>
      </c>
      <c r="H63" s="8" t="n">
        <f aca="false">IFERROR(Rohdaten!C63*100/Rohdaten!L63,"–")</f>
        <v>53.3333333333333</v>
      </c>
      <c r="I63" s="9" t="str">
        <f aca="false">IFERROR(Rohdaten!C63*100/Rohdaten!M63,"–")</f>
        <v>–</v>
      </c>
      <c r="J63" s="8" t="n">
        <f aca="false">IFERROR(Rohdaten!C63*100/Rohdaten!N63,"–")</f>
        <v>320</v>
      </c>
      <c r="K63" s="9" t="n">
        <f aca="false">IFERROR(Rohdaten!C63*100/Rohdaten!O63,"–")</f>
        <v>80</v>
      </c>
      <c r="L63" s="8" t="n">
        <f aca="false">IFERROR(Rohdaten!C63*100/Rohdaten!P63,"–")</f>
        <v>16000</v>
      </c>
      <c r="M63" s="8" t="n">
        <f aca="false">IFERROR(Rohdaten!C63*100/Rohdaten!Q63,"–")</f>
        <v>8000</v>
      </c>
      <c r="N63" s="8" t="n">
        <f aca="false">IFERROR(Rohdaten!C63*100/Rohdaten!R63,"–")</f>
        <v>320</v>
      </c>
      <c r="O63" s="8" t="n">
        <f aca="false">IFERROR(Rohdaten!C63*100/Rohdaten!S63,"–")</f>
        <v>16000</v>
      </c>
      <c r="P63" s="9" t="n">
        <f aca="false">IFERROR(Rohdaten!C63*100/Rohdaten!T63,"–")</f>
        <v>53.3333333333333</v>
      </c>
      <c r="Q63" s="9" t="str">
        <f aca="false">IFERROR(Rohdaten!C63*100/Rohdaten!U63,"–")</f>
        <v>–</v>
      </c>
      <c r="R63" s="8" t="n">
        <f aca="false">IFERROR(Rohdaten!C63*100/Rohdaten!V63,"–")</f>
        <v>40</v>
      </c>
      <c r="S63" s="8" t="n">
        <f aca="false">IFERROR(Rohdaten!C63*100/Rohdaten!W63,"–")</f>
        <v>800</v>
      </c>
      <c r="T63" s="8" t="n">
        <f aca="false">IFERROR(Rohdaten!C63*100/Rohdaten!X63,"–")</f>
        <v>22.8571428571429</v>
      </c>
      <c r="U63" s="8" t="n">
        <f aca="false">IFERROR(Rohdaten!C63*100/Rohdaten!Y63,"–")</f>
        <v>1600</v>
      </c>
      <c r="V63" s="8" t="n">
        <f aca="false">IFERROR(Rohdaten!C63*100/Rohdaten!Z63,"–")</f>
        <v>1.45454545454545</v>
      </c>
    </row>
    <row r="64" customFormat="false" ht="15" hidden="false" customHeight="true" outlineLevel="0" collapsed="false">
      <c r="A64" s="4" t="str">
        <f aca="false">Rohdaten!A64</f>
        <v>Weintrauben, Durchschnitt</v>
      </c>
      <c r="B64" s="8" t="n">
        <f aca="false">Rohdaten!C64</f>
        <v>0.4</v>
      </c>
      <c r="C64" s="8" t="n">
        <f aca="false">IFERROR(Rohdaten!C64*100/Rohdaten!G64,"–")</f>
        <v>0.579710144927536</v>
      </c>
      <c r="D64" s="8" t="n">
        <f aca="false">IFERROR(Rohdaten!C64*100/(Rohdaten!H64*9),"–")</f>
        <v>22.2222222222222</v>
      </c>
      <c r="E64" s="8" t="n">
        <f aca="false">IFERROR(Rohdaten!C64*100/(Rohdaten!I64*4),"–")</f>
        <v>14.2857142857143</v>
      </c>
      <c r="F64" s="8" t="n">
        <f aca="false">IFERROR(Rohdaten!C64*100/(Rohdaten!J64*4),"–")</f>
        <v>0.555555555555556</v>
      </c>
      <c r="G64" s="9" t="n">
        <f aca="false">IFERROR(Rohdaten!C64*100/Rohdaten!K64,"–")</f>
        <v>13.3333333333333</v>
      </c>
      <c r="H64" s="8" t="n">
        <f aca="false">IFERROR(Rohdaten!C64*100/Rohdaten!L64,"–")</f>
        <v>10</v>
      </c>
      <c r="I64" s="9" t="str">
        <f aca="false">IFERROR(Rohdaten!C64*100/Rohdaten!M64,"–")</f>
        <v>–</v>
      </c>
      <c r="J64" s="8" t="n">
        <f aca="false">IFERROR(Rohdaten!C64*100/Rohdaten!N64,"–")</f>
        <v>200</v>
      </c>
      <c r="K64" s="9" t="n">
        <f aca="false">IFERROR(Rohdaten!C64*100/Rohdaten!O64,"–")</f>
        <v>2.73972602739726</v>
      </c>
      <c r="L64" s="8" t="n">
        <f aca="false">IFERROR(Rohdaten!C64*100/Rohdaten!P64,"–")</f>
        <v>571.428571428571</v>
      </c>
      <c r="M64" s="8" t="n">
        <f aca="false">IFERROR(Rohdaten!C64*100/Rohdaten!Q64,"–")</f>
        <v>571.428571428571</v>
      </c>
      <c r="N64" s="8" t="n">
        <f aca="false">IFERROR(Rohdaten!C64*100/Rohdaten!R64,"–")</f>
        <v>200</v>
      </c>
      <c r="O64" s="8" t="n">
        <f aca="false">IFERROR(Rohdaten!C64*100/Rohdaten!S64,"–")</f>
        <v>444.444444444444</v>
      </c>
      <c r="P64" s="9" t="n">
        <f aca="false">IFERROR(Rohdaten!C64*100/Rohdaten!T64,"–")</f>
        <v>20</v>
      </c>
      <c r="Q64" s="9" t="str">
        <f aca="false">IFERROR(Rohdaten!C64*100/Rohdaten!U64,"–")</f>
        <v>–</v>
      </c>
      <c r="R64" s="8" t="n">
        <f aca="false">IFERROR(Rohdaten!C64*100/Rohdaten!V64,"–")</f>
        <v>4</v>
      </c>
      <c r="S64" s="8" t="n">
        <f aca="false">IFERROR(Rohdaten!C64*100/Rohdaten!W64,"–")</f>
        <v>100</v>
      </c>
      <c r="T64" s="8" t="n">
        <f aca="false">IFERROR(Rohdaten!C64*100/Rohdaten!X64,"–")</f>
        <v>5.71428571428571</v>
      </c>
      <c r="U64" s="8" t="n">
        <f aca="false">IFERROR(Rohdaten!C64*100/Rohdaten!Y64,"–")</f>
        <v>571.428571428571</v>
      </c>
      <c r="V64" s="8" t="n">
        <f aca="false">IFERROR(Rohdaten!C64*100/Rohdaten!Z64,"–")</f>
        <v>0.210526315789474</v>
      </c>
    </row>
    <row r="65" customFormat="false" ht="15" hidden="false" customHeight="true" outlineLevel="0" collapsed="false">
      <c r="A65" s="4" t="str">
        <f aca="false">Rohdaten!A65</f>
        <v>Weintrauben, Deutschland saisonal</v>
      </c>
      <c r="B65" s="8" t="n">
        <f aca="false">Rohdaten!C65</f>
        <v>0.3</v>
      </c>
      <c r="C65" s="8" t="n">
        <f aca="false">IFERROR(Rohdaten!C65*100/Rohdaten!G65,"–")</f>
        <v>0.434782608695652</v>
      </c>
      <c r="D65" s="8" t="n">
        <f aca="false">IFERROR(Rohdaten!C65*100/(Rohdaten!H65*9),"–")</f>
        <v>16.6666666666667</v>
      </c>
      <c r="E65" s="8" t="n">
        <f aca="false">IFERROR(Rohdaten!C65*100/(Rohdaten!I65*4),"–")</f>
        <v>10.7142857142857</v>
      </c>
      <c r="F65" s="8" t="n">
        <f aca="false">IFERROR(Rohdaten!C65*100/(Rohdaten!J65*4),"–")</f>
        <v>0.416666666666667</v>
      </c>
      <c r="G65" s="9" t="n">
        <f aca="false">IFERROR(Rohdaten!C65*100/Rohdaten!K65,"–")</f>
        <v>10</v>
      </c>
      <c r="H65" s="8" t="n">
        <f aca="false">IFERROR(Rohdaten!C65*100/Rohdaten!L65,"–")</f>
        <v>7.5</v>
      </c>
      <c r="I65" s="9" t="str">
        <f aca="false">IFERROR(Rohdaten!C65*100/Rohdaten!M65,"–")</f>
        <v>–</v>
      </c>
      <c r="J65" s="8" t="n">
        <f aca="false">IFERROR(Rohdaten!C65*100/Rohdaten!N65,"–")</f>
        <v>150</v>
      </c>
      <c r="K65" s="9" t="n">
        <f aca="false">IFERROR(Rohdaten!C65*100/Rohdaten!O65,"–")</f>
        <v>2.05479452054795</v>
      </c>
      <c r="L65" s="8" t="n">
        <f aca="false">IFERROR(Rohdaten!C65*100/Rohdaten!P65,"–")</f>
        <v>428.571428571429</v>
      </c>
      <c r="M65" s="8" t="n">
        <f aca="false">IFERROR(Rohdaten!C65*100/Rohdaten!Q65,"–")</f>
        <v>428.571428571429</v>
      </c>
      <c r="N65" s="8" t="n">
        <f aca="false">IFERROR(Rohdaten!C65*100/Rohdaten!R65,"–")</f>
        <v>150</v>
      </c>
      <c r="O65" s="8" t="n">
        <f aca="false">IFERROR(Rohdaten!C65*100/Rohdaten!S65,"–")</f>
        <v>333.333333333333</v>
      </c>
      <c r="P65" s="9" t="n">
        <f aca="false">IFERROR(Rohdaten!C65*100/Rohdaten!T65,"–")</f>
        <v>15</v>
      </c>
      <c r="Q65" s="9" t="str">
        <f aca="false">IFERROR(Rohdaten!C65*100/Rohdaten!U65,"–")</f>
        <v>–</v>
      </c>
      <c r="R65" s="8" t="n">
        <f aca="false">IFERROR(Rohdaten!C65*100/Rohdaten!V65,"–")</f>
        <v>3</v>
      </c>
      <c r="S65" s="8" t="n">
        <f aca="false">IFERROR(Rohdaten!C65*100/Rohdaten!W65,"–")</f>
        <v>75</v>
      </c>
      <c r="T65" s="8" t="n">
        <f aca="false">IFERROR(Rohdaten!C65*100/Rohdaten!X65,"–")</f>
        <v>4.28571428571429</v>
      </c>
      <c r="U65" s="8" t="n">
        <f aca="false">IFERROR(Rohdaten!C65*100/Rohdaten!Y65,"–")</f>
        <v>428.571428571429</v>
      </c>
      <c r="V65" s="8" t="n">
        <f aca="false">IFERROR(Rohdaten!C65*100/Rohdaten!Z65,"–")</f>
        <v>0.157894736842105</v>
      </c>
    </row>
    <row r="66" customFormat="false" ht="15" hidden="false" customHeight="true" outlineLevel="0" collapsed="false">
      <c r="A66" s="4" t="str">
        <f aca="false">Rohdaten!A66</f>
        <v>Weintrauben, Italien saisonal</v>
      </c>
      <c r="B66" s="8" t="n">
        <f aca="false">Rohdaten!C66</f>
        <v>0.3</v>
      </c>
      <c r="C66" s="8" t="n">
        <f aca="false">IFERROR(Rohdaten!C66*100/Rohdaten!G66,"–")</f>
        <v>0.434782608695652</v>
      </c>
      <c r="D66" s="8" t="n">
        <f aca="false">IFERROR(Rohdaten!C66*100/(Rohdaten!H66*9),"–")</f>
        <v>16.6666666666667</v>
      </c>
      <c r="E66" s="8" t="n">
        <f aca="false">IFERROR(Rohdaten!C66*100/(Rohdaten!I66*4),"–")</f>
        <v>10.7142857142857</v>
      </c>
      <c r="F66" s="8" t="n">
        <f aca="false">IFERROR(Rohdaten!C66*100/(Rohdaten!J66*4),"–")</f>
        <v>0.416666666666667</v>
      </c>
      <c r="G66" s="9" t="n">
        <f aca="false">IFERROR(Rohdaten!C66*100/Rohdaten!K66,"–")</f>
        <v>10</v>
      </c>
      <c r="H66" s="8" t="n">
        <f aca="false">IFERROR(Rohdaten!C66*100/Rohdaten!L66,"–")</f>
        <v>7.5</v>
      </c>
      <c r="I66" s="9" t="str">
        <f aca="false">IFERROR(Rohdaten!C66*100/Rohdaten!M66,"–")</f>
        <v>–</v>
      </c>
      <c r="J66" s="8" t="n">
        <f aca="false">IFERROR(Rohdaten!C66*100/Rohdaten!N66,"–")</f>
        <v>150</v>
      </c>
      <c r="K66" s="9" t="n">
        <f aca="false">IFERROR(Rohdaten!C66*100/Rohdaten!O66,"–")</f>
        <v>2.05479452054795</v>
      </c>
      <c r="L66" s="8" t="n">
        <f aca="false">IFERROR(Rohdaten!C66*100/Rohdaten!P66,"–")</f>
        <v>428.571428571429</v>
      </c>
      <c r="M66" s="8" t="n">
        <f aca="false">IFERROR(Rohdaten!C66*100/Rohdaten!Q66,"–")</f>
        <v>428.571428571429</v>
      </c>
      <c r="N66" s="8" t="n">
        <f aca="false">IFERROR(Rohdaten!C66*100/Rohdaten!R66,"–")</f>
        <v>150</v>
      </c>
      <c r="O66" s="8" t="n">
        <f aca="false">IFERROR(Rohdaten!C66*100/Rohdaten!S66,"–")</f>
        <v>333.333333333333</v>
      </c>
      <c r="P66" s="9" t="n">
        <f aca="false">IFERROR(Rohdaten!C66*100/Rohdaten!T66,"–")</f>
        <v>15</v>
      </c>
      <c r="Q66" s="9" t="str">
        <f aca="false">IFERROR(Rohdaten!C66*100/Rohdaten!U66,"–")</f>
        <v>–</v>
      </c>
      <c r="R66" s="8" t="n">
        <f aca="false">IFERROR(Rohdaten!C66*100/Rohdaten!V66,"–")</f>
        <v>3</v>
      </c>
      <c r="S66" s="8" t="n">
        <f aca="false">IFERROR(Rohdaten!C66*100/Rohdaten!W66,"–")</f>
        <v>75</v>
      </c>
      <c r="T66" s="8" t="n">
        <f aca="false">IFERROR(Rohdaten!C66*100/Rohdaten!X66,"–")</f>
        <v>4.28571428571429</v>
      </c>
      <c r="U66" s="8" t="n">
        <f aca="false">IFERROR(Rohdaten!C66*100/Rohdaten!Y66,"–")</f>
        <v>428.571428571429</v>
      </c>
      <c r="V66" s="8" t="n">
        <f aca="false">IFERROR(Rohdaten!C66*100/Rohdaten!Z66,"–")</f>
        <v>0.157894736842105</v>
      </c>
    </row>
    <row r="67" customFormat="false" ht="15" hidden="false" customHeight="true" outlineLevel="0" collapsed="false">
      <c r="A67" s="4" t="str">
        <f aca="false">Rohdaten!A67</f>
        <v>Dinkel (als Reisersatz)</v>
      </c>
      <c r="B67" s="8" t="n">
        <f aca="false">Rohdaten!C67</f>
        <v>0.7</v>
      </c>
      <c r="C67" s="8" t="n">
        <f aca="false">IFERROR(Rohdaten!C67*100/Rohdaten!G67,"–")</f>
        <v>0.207100591715976</v>
      </c>
      <c r="D67" s="8" t="n">
        <f aca="false">IFERROR(Rohdaten!C67*100/(Rohdaten!H67*9),"–")</f>
        <v>3.11111111111111</v>
      </c>
      <c r="E67" s="8" t="n">
        <f aca="false">IFERROR(Rohdaten!C67*100/(Rohdaten!I67*4),"–")</f>
        <v>1.16666666666667</v>
      </c>
      <c r="F67" s="8" t="n">
        <f aca="false">IFERROR(Rohdaten!C67*100/(Rohdaten!J67*4),"–")</f>
        <v>0.25</v>
      </c>
      <c r="G67" s="9" t="str">
        <f aca="false">IFERROR(Rohdaten!C67*100/Rohdaten!K67,"–")</f>
        <v>–</v>
      </c>
      <c r="H67" s="8" t="str">
        <f aca="false">IFERROR(Rohdaten!C67*100/Rohdaten!L67,"–")</f>
        <v>–</v>
      </c>
      <c r="I67" s="9" t="str">
        <f aca="false">IFERROR(Rohdaten!C67*100/Rohdaten!M67,"–")</f>
        <v>–</v>
      </c>
      <c r="J67" s="8" t="n">
        <f aca="false">IFERROR(Rohdaten!C67*100/Rohdaten!N67,"–")</f>
        <v>100</v>
      </c>
      <c r="K67" s="9" t="str">
        <f aca="false">IFERROR(Rohdaten!C67*100/Rohdaten!O67,"–")</f>
        <v>–</v>
      </c>
      <c r="L67" s="8" t="n">
        <f aca="false">IFERROR(Rohdaten!C67*100/Rohdaten!P67,"–")</f>
        <v>175</v>
      </c>
      <c r="M67" s="8" t="n">
        <f aca="false">IFERROR(Rohdaten!C67*100/Rohdaten!Q67,"–")</f>
        <v>466.666666666667</v>
      </c>
      <c r="N67" s="8" t="n">
        <f aca="false">IFERROR(Rohdaten!C67*100/Rohdaten!R67,"–")</f>
        <v>14</v>
      </c>
      <c r="O67" s="8" t="n">
        <f aca="false">IFERROR(Rohdaten!C67*100/Rohdaten!S67,"–")</f>
        <v>466.666666666667</v>
      </c>
      <c r="P67" s="9" t="n">
        <f aca="false">IFERROR(Rohdaten!C67*100/Rohdaten!T67,"–")</f>
        <v>1.75</v>
      </c>
      <c r="Q67" s="9" t="str">
        <f aca="false">IFERROR(Rohdaten!C67*100/Rohdaten!U67,"–")</f>
        <v>–</v>
      </c>
      <c r="R67" s="8" t="n">
        <f aca="false">IFERROR(Rohdaten!C67*100/Rohdaten!V67,"–")</f>
        <v>2.33333333333333</v>
      </c>
      <c r="S67" s="8" t="n">
        <f aca="false">IFERROR(Rohdaten!C67*100/Rohdaten!W67,"–")</f>
        <v>23.3333333333333</v>
      </c>
      <c r="T67" s="8" t="n">
        <f aca="false">IFERROR(Rohdaten!C67*100/Rohdaten!X67,"–")</f>
        <v>0.777777777777778</v>
      </c>
      <c r="U67" s="8" t="n">
        <f aca="false">IFERROR(Rohdaten!C67*100/Rohdaten!Y67,"–")</f>
        <v>28</v>
      </c>
      <c r="V67" s="8" t="n">
        <f aca="false">IFERROR(Rohdaten!C67*100/Rohdaten!Z67,"–")</f>
        <v>0.175</v>
      </c>
    </row>
    <row r="68" customFormat="false" ht="15" hidden="false" customHeight="true" outlineLevel="0" collapsed="false">
      <c r="A68" s="4" t="str">
        <f aca="false">Rohdaten!A68</f>
        <v>Nudeln, Durchschnitt</v>
      </c>
      <c r="B68" s="8" t="n">
        <f aca="false">Rohdaten!C68</f>
        <v>0.7</v>
      </c>
      <c r="C68" s="8" t="n">
        <f aca="false">IFERROR(Rohdaten!C68*100/Rohdaten!G68,"–")</f>
        <v>0.2</v>
      </c>
      <c r="D68" s="8" t="n">
        <f aca="false">IFERROR(Rohdaten!C68*100/(Rohdaten!H68*9),"–")</f>
        <v>5.18518518518519</v>
      </c>
      <c r="E68" s="8" t="n">
        <f aca="false">IFERROR(Rohdaten!C68*100/(Rohdaten!I68*4),"–")</f>
        <v>1.4</v>
      </c>
      <c r="F68" s="8" t="n">
        <f aca="false">IFERROR(Rohdaten!C68*100/(Rohdaten!J68*4),"–")</f>
        <v>0.25</v>
      </c>
      <c r="G68" s="9" t="str">
        <f aca="false">IFERROR(Rohdaten!C68*100/Rohdaten!K68,"–")</f>
        <v>–</v>
      </c>
      <c r="H68" s="8" t="str">
        <f aca="false">IFERROR(Rohdaten!C68*100/Rohdaten!L68,"–")</f>
        <v>–</v>
      </c>
      <c r="I68" s="9" t="str">
        <f aca="false">IFERROR(Rohdaten!C68*100/Rohdaten!M68,"–")</f>
        <v>–</v>
      </c>
      <c r="J68" s="8" t="n">
        <f aca="false">IFERROR(Rohdaten!C68*100/Rohdaten!N68,"–")</f>
        <v>350</v>
      </c>
      <c r="K68" s="9" t="n">
        <f aca="false">IFERROR(Rohdaten!C68*100/Rohdaten!O68,"–")</f>
        <v>70</v>
      </c>
      <c r="L68" s="8" t="n">
        <f aca="false">IFERROR(Rohdaten!C68*100/Rohdaten!P68,"–")</f>
        <v>466.666666666667</v>
      </c>
      <c r="M68" s="8" t="n">
        <f aca="false">IFERROR(Rohdaten!C68*100/Rohdaten!Q68,"–")</f>
        <v>1166.66666666667</v>
      </c>
      <c r="N68" s="8" t="n">
        <f aca="false">IFERROR(Rohdaten!C68*100/Rohdaten!R68,"–")</f>
        <v>35</v>
      </c>
      <c r="O68" s="8" t="n">
        <f aca="false">IFERROR(Rohdaten!C68*100/Rohdaten!S68,"–")</f>
        <v>700</v>
      </c>
      <c r="P68" s="9" t="n">
        <f aca="false">IFERROR(Rohdaten!C68*100/Rohdaten!T68,"–")</f>
        <v>3.5</v>
      </c>
      <c r="Q68" s="9" t="str">
        <f aca="false">IFERROR(Rohdaten!C68*100/Rohdaten!U68,"–")</f>
        <v>–</v>
      </c>
      <c r="R68" s="8" t="n">
        <f aca="false">IFERROR(Rohdaten!C68*100/Rohdaten!V68,"–")</f>
        <v>3.5</v>
      </c>
      <c r="S68" s="8" t="n">
        <f aca="false">IFERROR(Rohdaten!C68*100/Rohdaten!W68,"–")</f>
        <v>46.6666666666667</v>
      </c>
      <c r="T68" s="8" t="n">
        <f aca="false">IFERROR(Rohdaten!C68*100/Rohdaten!X68,"–")</f>
        <v>1.55555555555556</v>
      </c>
      <c r="U68" s="8" t="n">
        <f aca="false">IFERROR(Rohdaten!C68*100/Rohdaten!Y68,"–")</f>
        <v>53.8461538461539</v>
      </c>
      <c r="V68" s="8" t="n">
        <f aca="false">IFERROR(Rohdaten!C68*100/Rohdaten!Z68,"–")</f>
        <v>0.368421052631579</v>
      </c>
    </row>
    <row r="69" customFormat="false" ht="15" hidden="false" customHeight="true" outlineLevel="0" collapsed="false">
      <c r="A69" s="4" t="str">
        <f aca="false">Rohdaten!A69</f>
        <v>Nudeln (Bio)</v>
      </c>
      <c r="B69" s="8" t="n">
        <f aca="false">Rohdaten!C69</f>
        <v>0.8</v>
      </c>
      <c r="C69" s="8" t="n">
        <f aca="false">IFERROR(Rohdaten!C69*100/Rohdaten!G69,"–")</f>
        <v>0.228571428571429</v>
      </c>
      <c r="D69" s="8" t="n">
        <f aca="false">IFERROR(Rohdaten!C69*100/(Rohdaten!H69*9),"–")</f>
        <v>5.92592592592593</v>
      </c>
      <c r="E69" s="8" t="n">
        <f aca="false">IFERROR(Rohdaten!C69*100/(Rohdaten!I69*4),"–")</f>
        <v>1.6</v>
      </c>
      <c r="F69" s="8" t="n">
        <f aca="false">IFERROR(Rohdaten!C69*100/(Rohdaten!J69*4),"–")</f>
        <v>0.285714285714286</v>
      </c>
      <c r="G69" s="9" t="str">
        <f aca="false">IFERROR(Rohdaten!C69*100/Rohdaten!K69,"–")</f>
        <v>–</v>
      </c>
      <c r="H69" s="8" t="str">
        <f aca="false">IFERROR(Rohdaten!C69*100/Rohdaten!L69,"–")</f>
        <v>–</v>
      </c>
      <c r="I69" s="9" t="str">
        <f aca="false">IFERROR(Rohdaten!C69*100/Rohdaten!M69,"–")</f>
        <v>–</v>
      </c>
      <c r="J69" s="8" t="n">
        <f aca="false">IFERROR(Rohdaten!C69*100/Rohdaten!N69,"–")</f>
        <v>400</v>
      </c>
      <c r="K69" s="9" t="n">
        <f aca="false">IFERROR(Rohdaten!C69*100/Rohdaten!O69,"–")</f>
        <v>80</v>
      </c>
      <c r="L69" s="8" t="n">
        <f aca="false">IFERROR(Rohdaten!C69*100/Rohdaten!P69,"–")</f>
        <v>533.333333333333</v>
      </c>
      <c r="M69" s="8" t="n">
        <f aca="false">IFERROR(Rohdaten!C69*100/Rohdaten!Q69,"–")</f>
        <v>1333.33333333333</v>
      </c>
      <c r="N69" s="8" t="n">
        <f aca="false">IFERROR(Rohdaten!C69*100/Rohdaten!R69,"–")</f>
        <v>40</v>
      </c>
      <c r="O69" s="8" t="n">
        <f aca="false">IFERROR(Rohdaten!C69*100/Rohdaten!S69,"–")</f>
        <v>800</v>
      </c>
      <c r="P69" s="9" t="n">
        <f aca="false">IFERROR(Rohdaten!C69*100/Rohdaten!T69,"–")</f>
        <v>4</v>
      </c>
      <c r="Q69" s="9" t="str">
        <f aca="false">IFERROR(Rohdaten!C69*100/Rohdaten!U69,"–")</f>
        <v>–</v>
      </c>
      <c r="R69" s="8" t="n">
        <f aca="false">IFERROR(Rohdaten!C69*100/Rohdaten!V69,"–")</f>
        <v>4</v>
      </c>
      <c r="S69" s="8" t="n">
        <f aca="false">IFERROR(Rohdaten!C69*100/Rohdaten!W69,"–")</f>
        <v>53.3333333333333</v>
      </c>
      <c r="T69" s="8" t="n">
        <f aca="false">IFERROR(Rohdaten!C69*100/Rohdaten!X69,"–")</f>
        <v>1.77777777777778</v>
      </c>
      <c r="U69" s="8" t="n">
        <f aca="false">IFERROR(Rohdaten!C69*100/Rohdaten!Y69,"–")</f>
        <v>61.5384615384615</v>
      </c>
      <c r="V69" s="8" t="n">
        <f aca="false">IFERROR(Rohdaten!C69*100/Rohdaten!Z69,"–")</f>
        <v>0.421052631578947</v>
      </c>
    </row>
    <row r="70" customFormat="false" ht="15" hidden="false" customHeight="true" outlineLevel="0" collapsed="false">
      <c r="A70" s="4" t="str">
        <f aca="false">Rohdaten!A70</f>
        <v>Reis, Durchschnitt</v>
      </c>
      <c r="B70" s="8" t="n">
        <f aca="false">Rohdaten!C70</f>
        <v>3.1</v>
      </c>
      <c r="C70" s="8" t="n">
        <f aca="false">IFERROR(Rohdaten!C70*100/Rohdaten!G70,"–")</f>
        <v>0.861111111111111</v>
      </c>
      <c r="D70" s="8" t="n">
        <f aca="false">IFERROR(Rohdaten!C70*100/(Rohdaten!H70*9),"–")</f>
        <v>49.2063492063492</v>
      </c>
      <c r="E70" s="8" t="n">
        <f aca="false">IFERROR(Rohdaten!C70*100/(Rohdaten!I70*4),"–")</f>
        <v>11.0714285714286</v>
      </c>
      <c r="F70" s="8" t="n">
        <f aca="false">IFERROR(Rohdaten!C70*100/(Rohdaten!J70*4),"–")</f>
        <v>0.981012658227848</v>
      </c>
      <c r="G70" s="9" t="str">
        <f aca="false">IFERROR(Rohdaten!C70*100/Rohdaten!K70,"–")</f>
        <v>–</v>
      </c>
      <c r="H70" s="8" t="str">
        <f aca="false">IFERROR(Rohdaten!C70*100/Rohdaten!L70,"–")</f>
        <v>–</v>
      </c>
      <c r="I70" s="9" t="str">
        <f aca="false">IFERROR(Rohdaten!C70*100/Rohdaten!M70,"–")</f>
        <v>–</v>
      </c>
      <c r="J70" s="8" t="n">
        <f aca="false">IFERROR(Rohdaten!C70*100/Rohdaten!N70,"–")</f>
        <v>3100</v>
      </c>
      <c r="K70" s="9" t="str">
        <f aca="false">IFERROR(Rohdaten!C70*100/Rohdaten!O70,"–")</f>
        <v>–</v>
      </c>
      <c r="L70" s="8" t="n">
        <f aca="false">IFERROR(Rohdaten!C70*100/Rohdaten!P70,"–")</f>
        <v>4428.57142857143</v>
      </c>
      <c r="M70" s="8" t="n">
        <f aca="false">IFERROR(Rohdaten!C70*100/Rohdaten!Q70,"–")</f>
        <v>6200</v>
      </c>
      <c r="N70" s="8" t="n">
        <f aca="false">IFERROR(Rohdaten!C70*100/Rohdaten!R70,"–")</f>
        <v>193.75</v>
      </c>
      <c r="O70" s="8" t="n">
        <f aca="false">IFERROR(Rohdaten!C70*100/Rohdaten!S70,"–")</f>
        <v>1937.5</v>
      </c>
      <c r="P70" s="9" t="n">
        <f aca="false">IFERROR(Rohdaten!C70*100/Rohdaten!T70,"–")</f>
        <v>38.75</v>
      </c>
      <c r="Q70" s="9" t="str">
        <f aca="false">IFERROR(Rohdaten!C70*100/Rohdaten!U70,"–")</f>
        <v>–</v>
      </c>
      <c r="R70" s="8" t="n">
        <f aca="false">IFERROR(Rohdaten!C70*100/Rohdaten!V70,"–")</f>
        <v>31</v>
      </c>
      <c r="S70" s="8" t="n">
        <f aca="false">IFERROR(Rohdaten!C70*100/Rohdaten!W70,"–")</f>
        <v>387.5</v>
      </c>
      <c r="T70" s="8" t="n">
        <f aca="false">IFERROR(Rohdaten!C70*100/Rohdaten!X70,"–")</f>
        <v>12.4</v>
      </c>
      <c r="U70" s="8" t="n">
        <f aca="false">IFERROR(Rohdaten!C70*100/Rohdaten!Y70,"–")</f>
        <v>281.818181818182</v>
      </c>
      <c r="V70" s="8" t="n">
        <f aca="false">IFERROR(Rohdaten!C70*100/Rohdaten!Z70,"–")</f>
        <v>4.07894736842105</v>
      </c>
    </row>
    <row r="71" customFormat="false" ht="15" hidden="false" customHeight="true" outlineLevel="0" collapsed="false">
      <c r="A71" s="4" t="str">
        <f aca="false">Rohdaten!A71</f>
        <v>Bulgur</v>
      </c>
      <c r="B71" s="8" t="n">
        <f aca="false">Rohdaten!C71</f>
        <v>0.6</v>
      </c>
      <c r="C71" s="8" t="n">
        <f aca="false">IFERROR(Rohdaten!C71*100/Rohdaten!G71,"–")</f>
        <v>0.175438596491228</v>
      </c>
      <c r="D71" s="8" t="n">
        <f aca="false">IFERROR(Rohdaten!C71*100/(Rohdaten!H71*9),"–")</f>
        <v>5.12820512820513</v>
      </c>
      <c r="E71" s="8" t="n">
        <f aca="false">IFERROR(Rohdaten!C71*100/(Rohdaten!I71*4),"–")</f>
        <v>1.21951219512195</v>
      </c>
      <c r="F71" s="8" t="n">
        <f aca="false">IFERROR(Rohdaten!C71*100/(Rohdaten!J71*4),"–")</f>
        <v>0.197368421052632</v>
      </c>
      <c r="G71" s="9" t="str">
        <f aca="false">IFERROR(Rohdaten!C71*100/Rohdaten!K71,"–")</f>
        <v>–</v>
      </c>
      <c r="H71" s="8" t="str">
        <f aca="false">IFERROR(Rohdaten!C71*100/Rohdaten!L71,"–")</f>
        <v>–</v>
      </c>
      <c r="I71" s="9" t="str">
        <f aca="false">IFERROR(Rohdaten!C71*100/Rohdaten!M71,"–")</f>
        <v>–</v>
      </c>
      <c r="J71" s="8" t="n">
        <f aca="false">IFERROR(Rohdaten!C71*100/Rohdaten!N71,"–")</f>
        <v>600</v>
      </c>
      <c r="K71" s="9" t="str">
        <f aca="false">IFERROR(Rohdaten!C71*100/Rohdaten!O71,"–")</f>
        <v>–</v>
      </c>
      <c r="L71" s="8" t="n">
        <f aca="false">IFERROR(Rohdaten!C71*100/Rohdaten!P71,"–")</f>
        <v>600</v>
      </c>
      <c r="M71" s="8" t="n">
        <f aca="false">IFERROR(Rohdaten!C71*100/Rohdaten!Q71,"–")</f>
        <v>750</v>
      </c>
      <c r="N71" s="8" t="n">
        <f aca="false">IFERROR(Rohdaten!C71*100/Rohdaten!R71,"–")</f>
        <v>13.0434782608696</v>
      </c>
      <c r="O71" s="8" t="n">
        <f aca="false">IFERROR(Rohdaten!C71*100/Rohdaten!S71,"–")</f>
        <v>352.941176470588</v>
      </c>
      <c r="P71" s="9" t="n">
        <f aca="false">IFERROR(Rohdaten!C71*100/Rohdaten!T71,"–")</f>
        <v>1.875</v>
      </c>
      <c r="Q71" s="9" t="str">
        <f aca="false">IFERROR(Rohdaten!C71*100/Rohdaten!U71,"–")</f>
        <v>–</v>
      </c>
      <c r="R71" s="8" t="n">
        <f aca="false">IFERROR(Rohdaten!C71*100/Rohdaten!V71,"–")</f>
        <v>2.4</v>
      </c>
      <c r="S71" s="8" t="n">
        <f aca="false">IFERROR(Rohdaten!C71*100/Rohdaten!W71,"–")</f>
        <v>30</v>
      </c>
      <c r="T71" s="8" t="n">
        <f aca="false">IFERROR(Rohdaten!C71*100/Rohdaten!X71,"–")</f>
        <v>1</v>
      </c>
      <c r="U71" s="8" t="n">
        <f aca="false">IFERROR(Rohdaten!C71*100/Rohdaten!Y71,"–")</f>
        <v>40</v>
      </c>
      <c r="V71" s="8" t="n">
        <f aca="false">IFERROR(Rohdaten!C71*100/Rohdaten!Z71,"–")</f>
        <v>0.25</v>
      </c>
    </row>
    <row r="72" customFormat="false" ht="15" hidden="false" customHeight="true" outlineLevel="0" collapsed="false">
      <c r="A72" s="4" t="str">
        <f aca="false">Rohdaten!A72</f>
        <v>Brot, Mischbrot</v>
      </c>
      <c r="B72" s="8" t="n">
        <f aca="false">Rohdaten!C72</f>
        <v>0.6</v>
      </c>
      <c r="C72" s="8" t="n">
        <f aca="false">IFERROR(Rohdaten!C72*100/Rohdaten!G72,"–")</f>
        <v>0.260869565217391</v>
      </c>
      <c r="D72" s="8" t="n">
        <f aca="false">IFERROR(Rohdaten!C72*100/(Rohdaten!H72*9),"–")</f>
        <v>4.44444444444445</v>
      </c>
      <c r="E72" s="8" t="n">
        <f aca="false">IFERROR(Rohdaten!C72*100/(Rohdaten!I72*4),"–")</f>
        <v>2</v>
      </c>
      <c r="F72" s="8" t="n">
        <f aca="false">IFERROR(Rohdaten!C72*100/(Rohdaten!J72*4),"–")</f>
        <v>0.333333333333333</v>
      </c>
      <c r="G72" s="9" t="str">
        <f aca="false">IFERROR(Rohdaten!C72*100/Rohdaten!K72,"–")</f>
        <v>–</v>
      </c>
      <c r="H72" s="8" t="str">
        <f aca="false">IFERROR(Rohdaten!C72*100/Rohdaten!L72,"–")</f>
        <v>–</v>
      </c>
      <c r="I72" s="9" t="str">
        <f aca="false">IFERROR(Rohdaten!C72*100/Rohdaten!M72,"–")</f>
        <v>–</v>
      </c>
      <c r="J72" s="8" t="n">
        <f aca="false">IFERROR(Rohdaten!C72*100/Rohdaten!N72,"–")</f>
        <v>200</v>
      </c>
      <c r="K72" s="9" t="str">
        <f aca="false">IFERROR(Rohdaten!C72*100/Rohdaten!O72,"–")</f>
        <v>–</v>
      </c>
      <c r="L72" s="8" t="n">
        <f aca="false">IFERROR(Rohdaten!C72*100/Rohdaten!P72,"–")</f>
        <v>400</v>
      </c>
      <c r="M72" s="8" t="n">
        <f aca="false">IFERROR(Rohdaten!C72*100/Rohdaten!Q72,"–")</f>
        <v>750</v>
      </c>
      <c r="N72" s="8" t="n">
        <f aca="false">IFERROR(Rohdaten!C72*100/Rohdaten!R72,"–")</f>
        <v>33.3333333333333</v>
      </c>
      <c r="O72" s="8" t="n">
        <f aca="false">IFERROR(Rohdaten!C72*100/Rohdaten!S72,"–")</f>
        <v>750</v>
      </c>
      <c r="P72" s="9" t="n">
        <f aca="false">IFERROR(Rohdaten!C72*100/Rohdaten!T72,"–")</f>
        <v>2.4</v>
      </c>
      <c r="Q72" s="9" t="str">
        <f aca="false">IFERROR(Rohdaten!C72*100/Rohdaten!U72,"–")</f>
        <v>–</v>
      </c>
      <c r="R72" s="8" t="n">
        <f aca="false">IFERROR(Rohdaten!C72*100/Rohdaten!V72,"–")</f>
        <v>2</v>
      </c>
      <c r="S72" s="8" t="n">
        <f aca="false">IFERROR(Rohdaten!C72*100/Rohdaten!W72,"–")</f>
        <v>33.3333333333333</v>
      </c>
      <c r="T72" s="8" t="n">
        <f aca="false">IFERROR(Rohdaten!C72*100/Rohdaten!X72,"–")</f>
        <v>2</v>
      </c>
      <c r="U72" s="8" t="n">
        <f aca="false">IFERROR(Rohdaten!C72*100/Rohdaten!Y72,"–")</f>
        <v>75</v>
      </c>
      <c r="V72" s="8" t="n">
        <f aca="false">IFERROR(Rohdaten!C72*100/Rohdaten!Z72,"–")</f>
        <v>0.4</v>
      </c>
    </row>
    <row r="73" customFormat="false" ht="15" hidden="false" customHeight="true" outlineLevel="0" collapsed="false">
      <c r="A73" s="4" t="str">
        <f aca="false">Rohdaten!A73</f>
        <v>Brot, Mischbrot (Bio)</v>
      </c>
      <c r="B73" s="8" t="n">
        <f aca="false">Rohdaten!C73</f>
        <v>0.9</v>
      </c>
      <c r="C73" s="8" t="n">
        <f aca="false">IFERROR(Rohdaten!C73*100/Rohdaten!G73,"–")</f>
        <v>0.391304347826087</v>
      </c>
      <c r="D73" s="8" t="n">
        <f aca="false">IFERROR(Rohdaten!C73*100/(Rohdaten!H73*9),"–")</f>
        <v>6.66666666666667</v>
      </c>
      <c r="E73" s="8" t="n">
        <f aca="false">IFERROR(Rohdaten!C73*100/(Rohdaten!I73*4),"–")</f>
        <v>3</v>
      </c>
      <c r="F73" s="8" t="n">
        <f aca="false">IFERROR(Rohdaten!C73*100/(Rohdaten!J73*4),"–")</f>
        <v>0.5</v>
      </c>
      <c r="G73" s="9" t="str">
        <f aca="false">IFERROR(Rohdaten!C73*100/Rohdaten!K73,"–")</f>
        <v>–</v>
      </c>
      <c r="H73" s="8" t="str">
        <f aca="false">IFERROR(Rohdaten!C73*100/Rohdaten!L73,"–")</f>
        <v>–</v>
      </c>
      <c r="I73" s="9" t="str">
        <f aca="false">IFERROR(Rohdaten!C73*100/Rohdaten!M73,"–")</f>
        <v>–</v>
      </c>
      <c r="J73" s="8" t="n">
        <f aca="false">IFERROR(Rohdaten!C73*100/Rohdaten!N73,"–")</f>
        <v>300</v>
      </c>
      <c r="K73" s="9" t="str">
        <f aca="false">IFERROR(Rohdaten!C73*100/Rohdaten!O73,"–")</f>
        <v>–</v>
      </c>
      <c r="L73" s="8" t="n">
        <f aca="false">IFERROR(Rohdaten!C73*100/Rohdaten!P73,"–")</f>
        <v>600</v>
      </c>
      <c r="M73" s="8" t="n">
        <f aca="false">IFERROR(Rohdaten!C73*100/Rohdaten!Q73,"–")</f>
        <v>1125</v>
      </c>
      <c r="N73" s="8" t="n">
        <f aca="false">IFERROR(Rohdaten!C73*100/Rohdaten!R73,"–")</f>
        <v>50</v>
      </c>
      <c r="O73" s="8" t="n">
        <f aca="false">IFERROR(Rohdaten!C73*100/Rohdaten!S73,"–")</f>
        <v>1125</v>
      </c>
      <c r="P73" s="9" t="n">
        <f aca="false">IFERROR(Rohdaten!C73*100/Rohdaten!T73,"–")</f>
        <v>3.6</v>
      </c>
      <c r="Q73" s="9" t="str">
        <f aca="false">IFERROR(Rohdaten!C73*100/Rohdaten!U73,"–")</f>
        <v>–</v>
      </c>
      <c r="R73" s="8" t="n">
        <f aca="false">IFERROR(Rohdaten!C73*100/Rohdaten!V73,"–")</f>
        <v>3</v>
      </c>
      <c r="S73" s="8" t="n">
        <f aca="false">IFERROR(Rohdaten!C73*100/Rohdaten!W73,"–")</f>
        <v>50</v>
      </c>
      <c r="T73" s="8" t="n">
        <f aca="false">IFERROR(Rohdaten!C73*100/Rohdaten!X73,"–")</f>
        <v>3</v>
      </c>
      <c r="U73" s="8" t="n">
        <f aca="false">IFERROR(Rohdaten!C73*100/Rohdaten!Y73,"–")</f>
        <v>112.5</v>
      </c>
      <c r="V73" s="8" t="n">
        <f aca="false">IFERROR(Rohdaten!C73*100/Rohdaten!Z73,"–")</f>
        <v>0.6</v>
      </c>
    </row>
    <row r="74" customFormat="false" ht="15" hidden="false" customHeight="true" outlineLevel="0" collapsed="false">
      <c r="A74" s="4" t="str">
        <f aca="false">Rohdaten!A74</f>
        <v>Brötchen, Weißbrot</v>
      </c>
      <c r="B74" s="8" t="n">
        <f aca="false">Rohdaten!C74</f>
        <v>0.7</v>
      </c>
      <c r="C74" s="8" t="n">
        <f aca="false">IFERROR(Rohdaten!C74*100/Rohdaten!G74,"–")</f>
        <v>0.259259259259259</v>
      </c>
      <c r="D74" s="8" t="n">
        <f aca="false">IFERROR(Rohdaten!C74*100/(Rohdaten!H74*9),"–")</f>
        <v>5.18518518518519</v>
      </c>
      <c r="E74" s="8" t="n">
        <f aca="false">IFERROR(Rohdaten!C74*100/(Rohdaten!I74*4),"–")</f>
        <v>2.05882352941176</v>
      </c>
      <c r="F74" s="8" t="n">
        <f aca="false">IFERROR(Rohdaten!C74*100/(Rohdaten!J74*4),"–")</f>
        <v>0.330188679245283</v>
      </c>
      <c r="G74" s="9" t="str">
        <f aca="false">IFERROR(Rohdaten!C74*100/Rohdaten!K74,"–")</f>
        <v>–</v>
      </c>
      <c r="H74" s="8" t="str">
        <f aca="false">IFERROR(Rohdaten!C74*100/Rohdaten!L74,"–")</f>
        <v>–</v>
      </c>
      <c r="I74" s="9" t="str">
        <f aca="false">IFERROR(Rohdaten!C74*100/Rohdaten!M74,"–")</f>
        <v>–</v>
      </c>
      <c r="J74" s="8" t="n">
        <f aca="false">IFERROR(Rohdaten!C74*100/Rohdaten!N74,"–")</f>
        <v>350</v>
      </c>
      <c r="K74" s="9" t="str">
        <f aca="false">IFERROR(Rohdaten!C74*100/Rohdaten!O74,"–")</f>
        <v>–</v>
      </c>
      <c r="L74" s="8" t="n">
        <f aca="false">IFERROR(Rohdaten!C74*100/Rohdaten!P74,"–")</f>
        <v>583.333333333333</v>
      </c>
      <c r="M74" s="8" t="n">
        <f aca="false">IFERROR(Rohdaten!C74*100/Rohdaten!Q74,"–")</f>
        <v>1000</v>
      </c>
      <c r="N74" s="8" t="n">
        <f aca="false">IFERROR(Rohdaten!C74*100/Rohdaten!R74,"–")</f>
        <v>43.75</v>
      </c>
      <c r="O74" s="8" t="n">
        <f aca="false">IFERROR(Rohdaten!C74*100/Rohdaten!S74,"–")</f>
        <v>1400</v>
      </c>
      <c r="P74" s="9" t="n">
        <f aca="false">IFERROR(Rohdaten!C74*100/Rohdaten!T74,"–")</f>
        <v>3.5</v>
      </c>
      <c r="Q74" s="9" t="str">
        <f aca="false">IFERROR(Rohdaten!C74*100/Rohdaten!U74,"–")</f>
        <v>–</v>
      </c>
      <c r="R74" s="8" t="n">
        <f aca="false">IFERROR(Rohdaten!C74*100/Rohdaten!V74,"–")</f>
        <v>3.5</v>
      </c>
      <c r="S74" s="8" t="n">
        <f aca="false">IFERROR(Rohdaten!C74*100/Rohdaten!W74,"–")</f>
        <v>58.3333333333333</v>
      </c>
      <c r="T74" s="8" t="n">
        <f aca="false">IFERROR(Rohdaten!C74*100/Rohdaten!X74,"–")</f>
        <v>3.5</v>
      </c>
      <c r="U74" s="8" t="n">
        <f aca="false">IFERROR(Rohdaten!C74*100/Rohdaten!Y74,"–")</f>
        <v>116.666666666667</v>
      </c>
      <c r="V74" s="8" t="n">
        <f aca="false">IFERROR(Rohdaten!C74*100/Rohdaten!Z74,"–")</f>
        <v>0.636363636363636</v>
      </c>
    </row>
    <row r="75" customFormat="false" ht="15" hidden="false" customHeight="true" outlineLevel="0" collapsed="false">
      <c r="A75" s="4" t="str">
        <f aca="false">Rohdaten!A75</f>
        <v>Haferflocken, Durchschnitt</v>
      </c>
      <c r="B75" s="8" t="n">
        <f aca="false">Rohdaten!C75</f>
        <v>0.6</v>
      </c>
      <c r="C75" s="8" t="n">
        <f aca="false">IFERROR(Rohdaten!C75*100/Rohdaten!G75,"–")</f>
        <v>0.162162162162162</v>
      </c>
      <c r="D75" s="8" t="n">
        <f aca="false">IFERROR(Rohdaten!C75*100/(Rohdaten!H75*9),"–")</f>
        <v>0.952380952380952</v>
      </c>
      <c r="E75" s="8" t="n">
        <f aca="false">IFERROR(Rohdaten!C75*100/(Rohdaten!I75*4),"–")</f>
        <v>1.15384615384615</v>
      </c>
      <c r="F75" s="8" t="n">
        <f aca="false">IFERROR(Rohdaten!C75*100/(Rohdaten!J75*4),"–")</f>
        <v>0.25</v>
      </c>
      <c r="G75" s="9" t="str">
        <f aca="false">IFERROR(Rohdaten!C75*100/Rohdaten!K75,"–")</f>
        <v>–</v>
      </c>
      <c r="H75" s="8" t="str">
        <f aca="false">IFERROR(Rohdaten!C75*100/Rohdaten!L75,"–")</f>
        <v>–</v>
      </c>
      <c r="I75" s="9" t="str">
        <f aca="false">IFERROR(Rohdaten!C75*100/Rohdaten!M75,"–")</f>
        <v>–</v>
      </c>
      <c r="J75" s="8" t="n">
        <f aca="false">IFERROR(Rohdaten!C75*100/Rohdaten!N75,"–")</f>
        <v>150</v>
      </c>
      <c r="K75" s="9" t="str">
        <f aca="false">IFERROR(Rohdaten!C75*100/Rohdaten!O75,"–")</f>
        <v>–</v>
      </c>
      <c r="L75" s="8" t="n">
        <f aca="false">IFERROR(Rohdaten!C75*100/Rohdaten!P75,"–")</f>
        <v>120</v>
      </c>
      <c r="M75" s="8" t="n">
        <f aca="false">IFERROR(Rohdaten!C75*100/Rohdaten!Q75,"–")</f>
        <v>600</v>
      </c>
      <c r="N75" s="8" t="n">
        <f aca="false">IFERROR(Rohdaten!C75*100/Rohdaten!R75,"–")</f>
        <v>60</v>
      </c>
      <c r="O75" s="8" t="n">
        <f aca="false">IFERROR(Rohdaten!C75*100/Rohdaten!S75,"–")</f>
        <v>600</v>
      </c>
      <c r="P75" s="9" t="n">
        <f aca="false">IFERROR(Rohdaten!C75*100/Rohdaten!T75,"–")</f>
        <v>2</v>
      </c>
      <c r="Q75" s="9" t="str">
        <f aca="false">IFERROR(Rohdaten!C75*100/Rohdaten!U75,"–")</f>
        <v>–</v>
      </c>
      <c r="R75" s="8" t="n">
        <f aca="false">IFERROR(Rohdaten!C75*100/Rohdaten!V75,"–")</f>
        <v>1.09090909090909</v>
      </c>
      <c r="S75" s="8" t="n">
        <f aca="false">IFERROR(Rohdaten!C75*100/Rohdaten!W75,"–")</f>
        <v>13.3333333333333</v>
      </c>
      <c r="T75" s="8" t="n">
        <f aca="false">IFERROR(Rohdaten!C75*100/Rohdaten!X75,"–")</f>
        <v>0.461538461538462</v>
      </c>
      <c r="U75" s="8" t="n">
        <f aca="false">IFERROR(Rohdaten!C75*100/Rohdaten!Y75,"–")</f>
        <v>16.6666666666667</v>
      </c>
      <c r="V75" s="8" t="n">
        <f aca="false">IFERROR(Rohdaten!C75*100/Rohdaten!Z75,"–")</f>
        <v>0.15</v>
      </c>
    </row>
    <row r="76" customFormat="false" ht="15" hidden="false" customHeight="true" outlineLevel="0" collapsed="false">
      <c r="A76" s="4" t="str">
        <f aca="false">Rohdaten!A76</f>
        <v>Gnocchi</v>
      </c>
      <c r="B76" s="8" t="n">
        <f aca="false">Rohdaten!C76</f>
        <v>0.6</v>
      </c>
      <c r="C76" s="8" t="n">
        <f aca="false">IFERROR(Rohdaten!C76*100/Rohdaten!G76,"–")</f>
        <v>0.4</v>
      </c>
      <c r="D76" s="8" t="n">
        <f aca="false">IFERROR(Rohdaten!C76*100/(Rohdaten!H76*9),"–")</f>
        <v>13.3333333333333</v>
      </c>
      <c r="E76" s="8" t="n">
        <f aca="false">IFERROR(Rohdaten!C76*100/(Rohdaten!I76*4),"–")</f>
        <v>4.28571428571429</v>
      </c>
      <c r="F76" s="8" t="n">
        <f aca="false">IFERROR(Rohdaten!C76*100/(Rohdaten!J76*4),"–")</f>
        <v>0.483870967741936</v>
      </c>
      <c r="G76" s="9" t="str">
        <f aca="false">IFERROR(Rohdaten!C76*100/Rohdaten!K76,"–")</f>
        <v>–</v>
      </c>
      <c r="H76" s="8" t="n">
        <f aca="false">IFERROR(Rohdaten!C76*100/Rohdaten!L76,"–")</f>
        <v>20</v>
      </c>
      <c r="I76" s="9" t="str">
        <f aca="false">IFERROR(Rohdaten!C76*100/Rohdaten!M76,"–")</f>
        <v>–</v>
      </c>
      <c r="J76" s="8" t="str">
        <f aca="false">IFERROR(Rohdaten!C76*100/Rohdaten!N76,"–")</f>
        <v>–</v>
      </c>
      <c r="K76" s="9" t="str">
        <f aca="false">IFERROR(Rohdaten!C76*100/Rohdaten!O76,"–")</f>
        <v>–</v>
      </c>
      <c r="L76" s="8" t="n">
        <f aca="false">IFERROR(Rohdaten!C76*100/Rohdaten!P76,"–")</f>
        <v>1200</v>
      </c>
      <c r="M76" s="8" t="n">
        <f aca="false">IFERROR(Rohdaten!C76*100/Rohdaten!Q76,"–")</f>
        <v>3000</v>
      </c>
      <c r="N76" s="8" t="n">
        <f aca="false">IFERROR(Rohdaten!C76*100/Rohdaten!R76,"–")</f>
        <v>100</v>
      </c>
      <c r="O76" s="8" t="n">
        <f aca="false">IFERROR(Rohdaten!C76*100/Rohdaten!S76,"–")</f>
        <v>600</v>
      </c>
      <c r="P76" s="9" t="n">
        <f aca="false">IFERROR(Rohdaten!C76*100/Rohdaten!T76,"–")</f>
        <v>6</v>
      </c>
      <c r="Q76" s="9" t="str">
        <f aca="false">IFERROR(Rohdaten!C76*100/Rohdaten!U76,"–")</f>
        <v>–</v>
      </c>
      <c r="R76" s="8" t="n">
        <f aca="false">IFERROR(Rohdaten!C76*100/Rohdaten!V76,"–")</f>
        <v>4</v>
      </c>
      <c r="S76" s="8" t="n">
        <f aca="false">IFERROR(Rohdaten!C76*100/Rohdaten!W76,"–")</f>
        <v>100</v>
      </c>
      <c r="T76" s="8" t="n">
        <f aca="false">IFERROR(Rohdaten!C76*100/Rohdaten!X76,"–")</f>
        <v>4</v>
      </c>
      <c r="U76" s="8" t="n">
        <f aca="false">IFERROR(Rohdaten!C76*100/Rohdaten!Y76,"–")</f>
        <v>200</v>
      </c>
      <c r="V76" s="8" t="n">
        <f aca="false">IFERROR(Rohdaten!C76*100/Rohdaten!Z76,"–")</f>
        <v>0.24</v>
      </c>
    </row>
    <row r="77" customFormat="false" ht="15" hidden="false" customHeight="true" outlineLevel="0" collapsed="false">
      <c r="A77" s="4" t="str">
        <f aca="false">Rohdaten!A77</f>
        <v>Feinbackwaren</v>
      </c>
      <c r="B77" s="8" t="n">
        <f aca="false">Rohdaten!C77</f>
        <v>1.6</v>
      </c>
      <c r="C77" s="8" t="n">
        <f aca="false">IFERROR(Rohdaten!C77*100/Rohdaten!G77,"–")</f>
        <v>0.4</v>
      </c>
      <c r="D77" s="8" t="n">
        <f aca="false">IFERROR(Rohdaten!C77*100/(Rohdaten!H77*9),"–")</f>
        <v>0.987654320987654</v>
      </c>
      <c r="E77" s="8" t="n">
        <f aca="false">IFERROR(Rohdaten!C77*100/(Rohdaten!I77*4),"–")</f>
        <v>6.66666666666667</v>
      </c>
      <c r="F77" s="8" t="n">
        <f aca="false">IFERROR(Rohdaten!C77*100/(Rohdaten!J77*4),"–")</f>
        <v>0.727272727272727</v>
      </c>
      <c r="G77" s="9" t="n">
        <f aca="false">IFERROR(Rohdaten!C77*100/Rohdaten!K77,"–")</f>
        <v>8</v>
      </c>
      <c r="H77" s="8" t="str">
        <f aca="false">IFERROR(Rohdaten!C77*100/Rohdaten!L77,"–")</f>
        <v>–</v>
      </c>
      <c r="I77" s="9" t="n">
        <f aca="false">IFERROR(Rohdaten!C77*100/Rohdaten!M77,"–")</f>
        <v>533.333333333333</v>
      </c>
      <c r="J77" s="8" t="n">
        <f aca="false">IFERROR(Rohdaten!C77*100/Rohdaten!N77,"–")</f>
        <v>160</v>
      </c>
      <c r="K77" s="9" t="n">
        <f aca="false">IFERROR(Rohdaten!C77*100/Rohdaten!O77,"–")</f>
        <v>53.3333333333333</v>
      </c>
      <c r="L77" s="8" t="n">
        <f aca="false">IFERROR(Rohdaten!C77*100/Rohdaten!P77,"–")</f>
        <v>1600</v>
      </c>
      <c r="M77" s="8" t="n">
        <f aca="false">IFERROR(Rohdaten!C77*100/Rohdaten!Q77,"–")</f>
        <v>1600</v>
      </c>
      <c r="N77" s="8" t="n">
        <f aca="false">IFERROR(Rohdaten!C77*100/Rohdaten!R77,"–")</f>
        <v>160</v>
      </c>
      <c r="O77" s="8" t="n">
        <f aca="false">IFERROR(Rohdaten!C77*100/Rohdaten!S77,"–")</f>
        <v>3200</v>
      </c>
      <c r="P77" s="9" t="n">
        <f aca="false">IFERROR(Rohdaten!C77*100/Rohdaten!T77,"–")</f>
        <v>8</v>
      </c>
      <c r="Q77" s="9" t="n">
        <f aca="false">IFERROR(Rohdaten!C77*100/Rohdaten!U77,"–")</f>
        <v>1600</v>
      </c>
      <c r="R77" s="8" t="n">
        <f aca="false">IFERROR(Rohdaten!C77*100/Rohdaten!V77,"–")</f>
        <v>4</v>
      </c>
      <c r="S77" s="8" t="n">
        <f aca="false">IFERROR(Rohdaten!C77*100/Rohdaten!W77,"–")</f>
        <v>133.333333333333</v>
      </c>
      <c r="T77" s="8" t="n">
        <f aca="false">IFERROR(Rohdaten!C77*100/Rohdaten!X77,"–")</f>
        <v>8</v>
      </c>
      <c r="U77" s="8" t="n">
        <f aca="false">IFERROR(Rohdaten!C77*100/Rohdaten!Y77,"–")</f>
        <v>400</v>
      </c>
      <c r="V77" s="8" t="n">
        <f aca="false">IFERROR(Rohdaten!C77*100/Rohdaten!Z77,"–")</f>
        <v>1.33333333333333</v>
      </c>
    </row>
    <row r="78" customFormat="false" ht="15" hidden="false" customHeight="true" outlineLevel="0" collapsed="false">
      <c r="A78" s="4" t="str">
        <f aca="false">Rohdaten!A78</f>
        <v>Weizenmehl</v>
      </c>
      <c r="B78" s="8" t="n">
        <f aca="false">Rohdaten!C78</f>
        <v>1.68</v>
      </c>
      <c r="C78" s="8" t="n">
        <f aca="false">IFERROR(Rohdaten!C78*100/Rohdaten!G78,"–")</f>
        <v>0.494117647058824</v>
      </c>
      <c r="D78" s="8" t="n">
        <f aca="false">IFERROR(Rohdaten!C78*100/(Rohdaten!H78*9),"–")</f>
        <v>18.6666666666667</v>
      </c>
      <c r="E78" s="8" t="n">
        <f aca="false">IFERROR(Rohdaten!C78*100/(Rohdaten!I78*4),"–")</f>
        <v>4.2</v>
      </c>
      <c r="F78" s="8" t="n">
        <f aca="false">IFERROR(Rohdaten!C78*100/(Rohdaten!J78*4),"–")</f>
        <v>0.6</v>
      </c>
      <c r="G78" s="9" t="str">
        <f aca="false">IFERROR(Rohdaten!C78*100/Rohdaten!K78,"–")</f>
        <v>–</v>
      </c>
      <c r="H78" s="8" t="str">
        <f aca="false">IFERROR(Rohdaten!C78*100/Rohdaten!L78,"–")</f>
        <v>–</v>
      </c>
      <c r="I78" s="9" t="str">
        <f aca="false">IFERROR(Rohdaten!C78*100/Rohdaten!M78,"–")</f>
        <v>–</v>
      </c>
      <c r="J78" s="8" t="n">
        <f aca="false">IFERROR(Rohdaten!C78*100/Rohdaten!N78,"–")</f>
        <v>1680</v>
      </c>
      <c r="K78" s="9" t="str">
        <f aca="false">IFERROR(Rohdaten!C78*100/Rohdaten!O78,"–")</f>
        <v>–</v>
      </c>
      <c r="L78" s="8" t="n">
        <f aca="false">IFERROR(Rohdaten!C78*100/Rohdaten!P78,"–")</f>
        <v>1400</v>
      </c>
      <c r="M78" s="8" t="n">
        <f aca="false">IFERROR(Rohdaten!C78*100/Rohdaten!Q78,"–")</f>
        <v>2800</v>
      </c>
      <c r="N78" s="8" t="n">
        <f aca="false">IFERROR(Rohdaten!C78*100/Rohdaten!R78,"–")</f>
        <v>112</v>
      </c>
      <c r="O78" s="8" t="n">
        <f aca="false">IFERROR(Rohdaten!C78*100/Rohdaten!S78,"–")</f>
        <v>2800</v>
      </c>
      <c r="P78" s="9" t="n">
        <f aca="false">IFERROR(Rohdaten!C78*100/Rohdaten!T78,"–")</f>
        <v>6.46153846153846</v>
      </c>
      <c r="Q78" s="9" t="str">
        <f aca="false">IFERROR(Rohdaten!C78*100/Rohdaten!U78,"–")</f>
        <v>–</v>
      </c>
      <c r="R78" s="8" t="n">
        <f aca="false">IFERROR(Rohdaten!C78*100/Rohdaten!V78,"–")</f>
        <v>11.2</v>
      </c>
      <c r="S78" s="8" t="n">
        <f aca="false">IFERROR(Rohdaten!C78*100/Rohdaten!W78,"–")</f>
        <v>140</v>
      </c>
      <c r="T78" s="8" t="n">
        <f aca="false">IFERROR(Rohdaten!C78*100/Rohdaten!X78,"–")</f>
        <v>7.63636363636364</v>
      </c>
      <c r="U78" s="8" t="n">
        <f aca="false">IFERROR(Rohdaten!C78*100/Rohdaten!Y78,"–")</f>
        <v>240</v>
      </c>
      <c r="V78" s="8" t="n">
        <f aca="false">IFERROR(Rohdaten!C78*100/Rohdaten!Z78,"–")</f>
        <v>1.4</v>
      </c>
    </row>
    <row r="79" customFormat="false" ht="15" hidden="false" customHeight="true" outlineLevel="0" collapsed="false">
      <c r="A79" s="4" t="str">
        <f aca="false">Rohdaten!A79</f>
        <v>Roggenmehl</v>
      </c>
      <c r="B79" s="8" t="n">
        <f aca="false">Rohdaten!C79</f>
        <v>1.68</v>
      </c>
      <c r="C79" s="8" t="n">
        <f aca="false">IFERROR(Rohdaten!C79*100/Rohdaten!G79,"–")</f>
        <v>0.516923076923077</v>
      </c>
      <c r="D79" s="8" t="n">
        <f aca="false">IFERROR(Rohdaten!C79*100/(Rohdaten!H79*9),"–")</f>
        <v>12.4444444444444</v>
      </c>
      <c r="E79" s="8" t="n">
        <f aca="false">IFERROR(Rohdaten!C79*100/(Rohdaten!I79*4),"–")</f>
        <v>4.94117647058824</v>
      </c>
      <c r="F79" s="8" t="n">
        <f aca="false">IFERROR(Rohdaten!C79*100/(Rohdaten!J79*4),"–")</f>
        <v>0.6</v>
      </c>
      <c r="G79" s="9" t="str">
        <f aca="false">IFERROR(Rohdaten!C79*100/Rohdaten!K79,"–")</f>
        <v>–</v>
      </c>
      <c r="H79" s="8" t="str">
        <f aca="false">IFERROR(Rohdaten!C79*100/Rohdaten!L79,"–")</f>
        <v>–</v>
      </c>
      <c r="I79" s="9" t="str">
        <f aca="false">IFERROR(Rohdaten!C79*100/Rohdaten!M79,"–")</f>
        <v>–</v>
      </c>
      <c r="J79" s="8" t="n">
        <f aca="false">IFERROR(Rohdaten!C79*100/Rohdaten!N79,"–")</f>
        <v>420</v>
      </c>
      <c r="K79" s="9" t="str">
        <f aca="false">IFERROR(Rohdaten!C79*100/Rohdaten!O79,"–")</f>
        <v>–</v>
      </c>
      <c r="L79" s="8" t="n">
        <f aca="false">IFERROR(Rohdaten!C79*100/Rohdaten!P79,"–")</f>
        <v>480</v>
      </c>
      <c r="M79" s="8" t="n">
        <f aca="false">IFERROR(Rohdaten!C79*100/Rohdaten!Q79,"–")</f>
        <v>1120</v>
      </c>
      <c r="N79" s="8" t="n">
        <f aca="false">IFERROR(Rohdaten!C79*100/Rohdaten!R79,"–")</f>
        <v>93.3333333333333</v>
      </c>
      <c r="O79" s="8" t="n">
        <f aca="false">IFERROR(Rohdaten!C79*100/Rohdaten!S79,"–")</f>
        <v>672</v>
      </c>
      <c r="P79" s="9" t="n">
        <f aca="false">IFERROR(Rohdaten!C79*100/Rohdaten!T79,"–")</f>
        <v>4.2</v>
      </c>
      <c r="Q79" s="9" t="str">
        <f aca="false">IFERROR(Rohdaten!C79*100/Rohdaten!U79,"–")</f>
        <v>–</v>
      </c>
      <c r="R79" s="8" t="n">
        <f aca="false">IFERROR(Rohdaten!C79*100/Rohdaten!V79,"–")</f>
        <v>5.6</v>
      </c>
      <c r="S79" s="8" t="n">
        <f aca="false">IFERROR(Rohdaten!C79*100/Rohdaten!W79,"–")</f>
        <v>67.2</v>
      </c>
      <c r="T79" s="8" t="n">
        <f aca="false">IFERROR(Rohdaten!C79*100/Rohdaten!X79,"–")</f>
        <v>2.8</v>
      </c>
      <c r="U79" s="8" t="n">
        <f aca="false">IFERROR(Rohdaten!C79*100/Rohdaten!Y79,"–")</f>
        <v>112</v>
      </c>
      <c r="V79" s="8" t="n">
        <f aca="false">IFERROR(Rohdaten!C79*100/Rohdaten!Z79,"–")</f>
        <v>0.56</v>
      </c>
    </row>
    <row r="80" customFormat="false" ht="15" hidden="false" customHeight="true" outlineLevel="0" collapsed="false">
      <c r="A80" s="4" t="str">
        <f aca="false">Rohdaten!A80</f>
        <v>Kichererbsen, Dose</v>
      </c>
      <c r="B80" s="8" t="n">
        <f aca="false">Rohdaten!C80</f>
        <v>1.3</v>
      </c>
      <c r="C80" s="8" t="n">
        <f aca="false">IFERROR(Rohdaten!C80*100/Rohdaten!G80,"–")</f>
        <v>0.928571428571429</v>
      </c>
      <c r="D80" s="8" t="n">
        <f aca="false">IFERROR(Rohdaten!C80*100/(Rohdaten!H80*9),"–")</f>
        <v>5.77777777777778</v>
      </c>
      <c r="E80" s="8" t="n">
        <f aca="false">IFERROR(Rohdaten!C80*100/(Rohdaten!I80*4),"–")</f>
        <v>4.33333333333333</v>
      </c>
      <c r="F80" s="8" t="n">
        <f aca="false">IFERROR(Rohdaten!C80*100/(Rohdaten!J80*4),"–")</f>
        <v>1.625</v>
      </c>
      <c r="G80" s="9" t="n">
        <f aca="false">IFERROR(Rohdaten!C80*100/Rohdaten!K80,"–")</f>
        <v>130</v>
      </c>
      <c r="H80" s="8" t="n">
        <f aca="false">IFERROR(Rohdaten!C80*100/Rohdaten!L80,"–")</f>
        <v>130</v>
      </c>
      <c r="I80" s="9" t="str">
        <f aca="false">IFERROR(Rohdaten!C80*100/Rohdaten!M80,"–")</f>
        <v>–</v>
      </c>
      <c r="J80" s="8" t="n">
        <f aca="false">IFERROR(Rohdaten!C80*100/Rohdaten!N80,"–")</f>
        <v>433.333333333333</v>
      </c>
      <c r="K80" s="9" t="n">
        <f aca="false">IFERROR(Rohdaten!C80*100/Rohdaten!O80,"–")</f>
        <v>32.5</v>
      </c>
      <c r="L80" s="8" t="n">
        <f aca="false">IFERROR(Rohdaten!C80*100/Rohdaten!P80,"–")</f>
        <v>1625</v>
      </c>
      <c r="M80" s="8" t="n">
        <f aca="false">IFERROR(Rohdaten!C80*100/Rohdaten!Q80,"–")</f>
        <v>3250</v>
      </c>
      <c r="N80" s="8" t="n">
        <f aca="false">IFERROR(Rohdaten!C80*100/Rohdaten!R80,"–")</f>
        <v>325</v>
      </c>
      <c r="O80" s="8" t="n">
        <f aca="false">IFERROR(Rohdaten!C80*100/Rohdaten!S80,"–")</f>
        <v>1300</v>
      </c>
      <c r="P80" s="9" t="n">
        <f aca="false">IFERROR(Rohdaten!C80*100/Rohdaten!T80,"–")</f>
        <v>1.44444444444444</v>
      </c>
      <c r="Q80" s="9" t="str">
        <f aca="false">IFERROR(Rohdaten!C80*100/Rohdaten!U80,"–")</f>
        <v>–</v>
      </c>
      <c r="R80" s="8" t="n">
        <f aca="false">IFERROR(Rohdaten!C80*100/Rohdaten!V80,"–")</f>
        <v>3.25</v>
      </c>
      <c r="S80" s="8" t="n">
        <f aca="false">IFERROR(Rohdaten!C80*100/Rohdaten!W80,"–")</f>
        <v>81.25</v>
      </c>
      <c r="T80" s="8" t="n">
        <f aca="false">IFERROR(Rohdaten!C80*100/Rohdaten!X80,"–")</f>
        <v>4.33333333333333</v>
      </c>
      <c r="U80" s="8" t="n">
        <f aca="false">IFERROR(Rohdaten!C80*100/Rohdaten!Y80,"–")</f>
        <v>130</v>
      </c>
      <c r="V80" s="8" t="n">
        <f aca="false">IFERROR(Rohdaten!C80*100/Rohdaten!Z80,"–")</f>
        <v>0.722222222222222</v>
      </c>
    </row>
    <row r="81" customFormat="false" ht="15" hidden="false" customHeight="true" outlineLevel="0" collapsed="false">
      <c r="A81" s="4" t="str">
        <f aca="false">Rohdaten!A81</f>
        <v>Linsen, getrocknet</v>
      </c>
      <c r="B81" s="8" t="n">
        <f aca="false">Rohdaten!C81</f>
        <v>1.2</v>
      </c>
      <c r="C81" s="8" t="n">
        <f aca="false">IFERROR(Rohdaten!C81*100/Rohdaten!G81,"–")</f>
        <v>0.369230769230769</v>
      </c>
      <c r="D81" s="8" t="n">
        <f aca="false">IFERROR(Rohdaten!C81*100/(Rohdaten!H81*9),"–")</f>
        <v>8.88888888888889</v>
      </c>
      <c r="E81" s="8" t="n">
        <f aca="false">IFERROR(Rohdaten!C81*100/(Rohdaten!I81*4),"–")</f>
        <v>1.25</v>
      </c>
      <c r="F81" s="8" t="n">
        <f aca="false">IFERROR(Rohdaten!C81*100/(Rohdaten!J81*4),"–")</f>
        <v>0.576923076923077</v>
      </c>
      <c r="G81" s="9" t="str">
        <f aca="false">IFERROR(Rohdaten!C81*100/Rohdaten!K81,"–")</f>
        <v>–</v>
      </c>
      <c r="H81" s="8" t="n">
        <f aca="false">IFERROR(Rohdaten!C81*100/Rohdaten!L81,"–")</f>
        <v>60</v>
      </c>
      <c r="I81" s="9" t="str">
        <f aca="false">IFERROR(Rohdaten!C81*100/Rohdaten!M81,"–")</f>
        <v>–</v>
      </c>
      <c r="J81" s="8" t="n">
        <f aca="false">IFERROR(Rohdaten!C81*100/Rohdaten!N81,"–")</f>
        <v>240</v>
      </c>
      <c r="K81" s="9" t="n">
        <f aca="false">IFERROR(Rohdaten!C81*100/Rohdaten!O81,"–")</f>
        <v>24</v>
      </c>
      <c r="L81" s="8" t="n">
        <f aca="false">IFERROR(Rohdaten!C81*100/Rohdaten!P81,"–")</f>
        <v>240</v>
      </c>
      <c r="M81" s="8" t="n">
        <f aca="false">IFERROR(Rohdaten!C81*100/Rohdaten!Q81,"–")</f>
        <v>480</v>
      </c>
      <c r="N81" s="8" t="n">
        <f aca="false">IFERROR(Rohdaten!C81*100/Rohdaten!R81,"–")</f>
        <v>48</v>
      </c>
      <c r="O81" s="8" t="n">
        <f aca="false">IFERROR(Rohdaten!C81*100/Rohdaten!S81,"–")</f>
        <v>240</v>
      </c>
      <c r="P81" s="9" t="n">
        <f aca="false">IFERROR(Rohdaten!C81*100/Rohdaten!T81,"–")</f>
        <v>0.25</v>
      </c>
      <c r="Q81" s="9" t="str">
        <f aca="false">IFERROR(Rohdaten!C81*100/Rohdaten!U81,"–")</f>
        <v>–</v>
      </c>
      <c r="R81" s="8" t="n">
        <f aca="false">IFERROR(Rohdaten!C81*100/Rohdaten!V81,"–")</f>
        <v>2.4</v>
      </c>
      <c r="S81" s="8" t="n">
        <f aca="false">IFERROR(Rohdaten!C81*100/Rohdaten!W81,"–")</f>
        <v>16</v>
      </c>
      <c r="T81" s="8" t="n">
        <f aca="false">IFERROR(Rohdaten!C81*100/Rohdaten!X81,"–")</f>
        <v>1.33333333333333</v>
      </c>
      <c r="U81" s="8" t="n">
        <f aca="false">IFERROR(Rohdaten!C81*100/Rohdaten!Y81,"–")</f>
        <v>34.2857142857143</v>
      </c>
      <c r="V81" s="8" t="n">
        <f aca="false">IFERROR(Rohdaten!C81*100/Rohdaten!Z81,"–")</f>
        <v>0.126315789473684</v>
      </c>
    </row>
    <row r="82" customFormat="false" ht="15" hidden="false" customHeight="true" outlineLevel="0" collapsed="false">
      <c r="A82" s="4" t="str">
        <f aca="false">Rohdaten!A82</f>
        <v>Linsen (Bio), getrocknet</v>
      </c>
      <c r="B82" s="8" t="n">
        <f aca="false">Rohdaten!C82</f>
        <v>1.7</v>
      </c>
      <c r="C82" s="8" t="n">
        <f aca="false">IFERROR(Rohdaten!C82*100/Rohdaten!G82,"–")</f>
        <v>0.523076923076923</v>
      </c>
      <c r="D82" s="8" t="n">
        <f aca="false">IFERROR(Rohdaten!C82*100/(Rohdaten!H82*9),"–")</f>
        <v>12.5925925925926</v>
      </c>
      <c r="E82" s="8" t="n">
        <f aca="false">IFERROR(Rohdaten!C82*100/(Rohdaten!I82*4),"–")</f>
        <v>1.77083333333333</v>
      </c>
      <c r="F82" s="8" t="n">
        <f aca="false">IFERROR(Rohdaten!C82*100/(Rohdaten!J82*4),"–")</f>
        <v>0.817307692307692</v>
      </c>
      <c r="G82" s="9" t="str">
        <f aca="false">IFERROR(Rohdaten!C82*100/Rohdaten!K82,"–")</f>
        <v>–</v>
      </c>
      <c r="H82" s="8" t="n">
        <f aca="false">IFERROR(Rohdaten!C82*100/Rohdaten!L82,"–")</f>
        <v>85</v>
      </c>
      <c r="I82" s="9" t="str">
        <f aca="false">IFERROR(Rohdaten!C82*100/Rohdaten!M82,"–")</f>
        <v>–</v>
      </c>
      <c r="J82" s="8" t="n">
        <f aca="false">IFERROR(Rohdaten!C82*100/Rohdaten!N82,"–")</f>
        <v>340</v>
      </c>
      <c r="K82" s="9" t="n">
        <f aca="false">IFERROR(Rohdaten!C82*100/Rohdaten!O82,"–")</f>
        <v>34</v>
      </c>
      <c r="L82" s="8" t="n">
        <f aca="false">IFERROR(Rohdaten!C82*100/Rohdaten!P82,"–")</f>
        <v>340</v>
      </c>
      <c r="M82" s="8" t="n">
        <f aca="false">IFERROR(Rohdaten!C82*100/Rohdaten!Q82,"–")</f>
        <v>680</v>
      </c>
      <c r="N82" s="8" t="n">
        <f aca="false">IFERROR(Rohdaten!C82*100/Rohdaten!R82,"–")</f>
        <v>68</v>
      </c>
      <c r="O82" s="8" t="n">
        <f aca="false">IFERROR(Rohdaten!C82*100/Rohdaten!S82,"–")</f>
        <v>340</v>
      </c>
      <c r="P82" s="9" t="n">
        <f aca="false">IFERROR(Rohdaten!C82*100/Rohdaten!T82,"–")</f>
        <v>0.354166666666667</v>
      </c>
      <c r="Q82" s="9" t="str">
        <f aca="false">IFERROR(Rohdaten!C82*100/Rohdaten!U82,"–")</f>
        <v>–</v>
      </c>
      <c r="R82" s="8" t="n">
        <f aca="false">IFERROR(Rohdaten!C82*100/Rohdaten!V82,"–")</f>
        <v>3.4</v>
      </c>
      <c r="S82" s="8" t="n">
        <f aca="false">IFERROR(Rohdaten!C82*100/Rohdaten!W82,"–")</f>
        <v>22.6666666666667</v>
      </c>
      <c r="T82" s="8" t="n">
        <f aca="false">IFERROR(Rohdaten!C82*100/Rohdaten!X82,"–")</f>
        <v>1.88888888888889</v>
      </c>
      <c r="U82" s="8" t="n">
        <f aca="false">IFERROR(Rohdaten!C82*100/Rohdaten!Y82,"–")</f>
        <v>48.5714285714286</v>
      </c>
      <c r="V82" s="8" t="n">
        <f aca="false">IFERROR(Rohdaten!C82*100/Rohdaten!Z82,"–")</f>
        <v>0.178947368421053</v>
      </c>
    </row>
    <row r="83" customFormat="false" ht="15" hidden="false" customHeight="true" outlineLevel="0" collapsed="false">
      <c r="A83" s="4" t="str">
        <f aca="false">Rohdaten!A83</f>
        <v>Linsen, Dose</v>
      </c>
      <c r="B83" s="8" t="n">
        <f aca="false">Rohdaten!C83</f>
        <v>1.7</v>
      </c>
      <c r="C83" s="8" t="n">
        <f aca="false">IFERROR(Rohdaten!C83*100/Rohdaten!G83,"–")</f>
        <v>1.54545454545455</v>
      </c>
      <c r="D83" s="8" t="n">
        <f aca="false">IFERROR(Rohdaten!C83*100/(Rohdaten!H83*9),"–")</f>
        <v>47.2222222222222</v>
      </c>
      <c r="E83" s="8" t="n">
        <f aca="false">IFERROR(Rohdaten!C83*100/(Rohdaten!I83*4),"–")</f>
        <v>5.3125</v>
      </c>
      <c r="F83" s="8" t="n">
        <f aca="false">IFERROR(Rohdaten!C83*100/(Rohdaten!J83*4),"–")</f>
        <v>2.36111111111111</v>
      </c>
      <c r="G83" s="9" t="str">
        <f aca="false">IFERROR(Rohdaten!C83*100/Rohdaten!K83,"–")</f>
        <v>–</v>
      </c>
      <c r="H83" s="8" t="n">
        <f aca="false">IFERROR(Rohdaten!C83*100/Rohdaten!L83,"–")</f>
        <v>170</v>
      </c>
      <c r="I83" s="9" t="str">
        <f aca="false">IFERROR(Rohdaten!C83*100/Rohdaten!M83,"–")</f>
        <v>–</v>
      </c>
      <c r="J83" s="8" t="n">
        <f aca="false">IFERROR(Rohdaten!C83*100/Rohdaten!N83,"–")</f>
        <v>1700</v>
      </c>
      <c r="K83" s="9" t="n">
        <f aca="false">IFERROR(Rohdaten!C83*100/Rohdaten!O83,"–")</f>
        <v>85</v>
      </c>
      <c r="L83" s="8" t="n">
        <f aca="false">IFERROR(Rohdaten!C83*100/Rohdaten!P83,"–")</f>
        <v>1700</v>
      </c>
      <c r="M83" s="8" t="n">
        <f aca="false">IFERROR(Rohdaten!C83*100/Rohdaten!Q83,"–")</f>
        <v>3400</v>
      </c>
      <c r="N83" s="8" t="n">
        <f aca="false">IFERROR(Rohdaten!C83*100/Rohdaten!R83,"–")</f>
        <v>212.5</v>
      </c>
      <c r="O83" s="8" t="n">
        <f aca="false">IFERROR(Rohdaten!C83*100/Rohdaten!S83,"–")</f>
        <v>1133.33333333333</v>
      </c>
      <c r="P83" s="9" t="n">
        <f aca="false">IFERROR(Rohdaten!C83*100/Rohdaten!T83,"–")</f>
        <v>1.7</v>
      </c>
      <c r="Q83" s="9" t="str">
        <f aca="false">IFERROR(Rohdaten!C83*100/Rohdaten!U83,"–")</f>
        <v>–</v>
      </c>
      <c r="R83" s="8" t="n">
        <f aca="false">IFERROR(Rohdaten!C83*100/Rohdaten!V83,"–")</f>
        <v>8.5</v>
      </c>
      <c r="S83" s="8" t="n">
        <f aca="false">IFERROR(Rohdaten!C83*100/Rohdaten!W83,"–")</f>
        <v>85</v>
      </c>
      <c r="T83" s="8" t="n">
        <f aca="false">IFERROR(Rohdaten!C83*100/Rohdaten!X83,"–")</f>
        <v>6.8</v>
      </c>
      <c r="U83" s="8" t="n">
        <f aca="false">IFERROR(Rohdaten!C83*100/Rohdaten!Y83,"–")</f>
        <v>188.888888888889</v>
      </c>
      <c r="V83" s="8" t="n">
        <f aca="false">IFERROR(Rohdaten!C83*100/Rohdaten!Z83,"–")</f>
        <v>0.62962962962963</v>
      </c>
    </row>
    <row r="84" customFormat="false" ht="15" hidden="false" customHeight="true" outlineLevel="0" collapsed="false">
      <c r="A84" s="4" t="str">
        <f aca="false">Rohdaten!A84</f>
        <v>Erbsen, frisch (Schoten)</v>
      </c>
      <c r="B84" s="8" t="n">
        <f aca="false">Rohdaten!C84</f>
        <v>0.4</v>
      </c>
      <c r="C84" s="8" t="n">
        <f aca="false">IFERROR(Rohdaten!C84*100/Rohdaten!G84,"–")</f>
        <v>0.493827160493827</v>
      </c>
      <c r="D84" s="8" t="n">
        <f aca="false">IFERROR(Rohdaten!C84*100/(Rohdaten!H84*9),"–")</f>
        <v>11.1111111111111</v>
      </c>
      <c r="E84" s="8" t="n">
        <f aca="false">IFERROR(Rohdaten!C84*100/(Rohdaten!I84*4),"–")</f>
        <v>1.85185185185185</v>
      </c>
      <c r="F84" s="8" t="n">
        <f aca="false">IFERROR(Rohdaten!C84*100/(Rohdaten!J84*4),"–")</f>
        <v>0.714285714285714</v>
      </c>
      <c r="G84" s="9" t="n">
        <f aca="false">IFERROR(Rohdaten!C84*100/Rohdaten!K84,"–")</f>
        <v>1.05263157894737</v>
      </c>
      <c r="H84" s="8" t="n">
        <f aca="false">IFERROR(Rohdaten!C84*100/Rohdaten!L84,"–")</f>
        <v>1</v>
      </c>
      <c r="I84" s="9" t="str">
        <f aca="false">IFERROR(Rohdaten!C84*100/Rohdaten!M84,"–")</f>
        <v>–</v>
      </c>
      <c r="J84" s="8" t="n">
        <f aca="false">IFERROR(Rohdaten!C84*100/Rohdaten!N84,"–")</f>
        <v>400</v>
      </c>
      <c r="K84" s="9" t="n">
        <f aca="false">IFERROR(Rohdaten!C84*100/Rohdaten!O84,"–")</f>
        <v>1.6</v>
      </c>
      <c r="L84" s="8" t="n">
        <f aca="false">IFERROR(Rohdaten!C84*100/Rohdaten!P84,"–")</f>
        <v>148.148148148148</v>
      </c>
      <c r="M84" s="8" t="n">
        <f aca="false">IFERROR(Rohdaten!C84*100/Rohdaten!Q84,"–")</f>
        <v>307.692307692308</v>
      </c>
      <c r="N84" s="8" t="n">
        <f aca="false">IFERROR(Rohdaten!C84*100/Rohdaten!R84,"–")</f>
        <v>19.047619047619</v>
      </c>
      <c r="O84" s="8" t="n">
        <f aca="false">IFERROR(Rohdaten!C84*100/Rohdaten!S84,"–")</f>
        <v>250</v>
      </c>
      <c r="P84" s="9" t="n">
        <f aca="false">IFERROR(Rohdaten!C84*100/Rohdaten!T84,"–")</f>
        <v>0.615384615384615</v>
      </c>
      <c r="Q84" s="9" t="str">
        <f aca="false">IFERROR(Rohdaten!C84*100/Rohdaten!U84,"–")</f>
        <v>–</v>
      </c>
      <c r="R84" s="8" t="n">
        <f aca="false">IFERROR(Rohdaten!C84*100/Rohdaten!V84,"–")</f>
        <v>1.6</v>
      </c>
      <c r="S84" s="8" t="n">
        <f aca="false">IFERROR(Rohdaten!C84*100/Rohdaten!W84,"–")</f>
        <v>26.6666666666667</v>
      </c>
      <c r="T84" s="8" t="n">
        <f aca="false">IFERROR(Rohdaten!C84*100/Rohdaten!X84,"–")</f>
        <v>1.21212121212121</v>
      </c>
      <c r="U84" s="8" t="n">
        <f aca="false">IFERROR(Rohdaten!C84*100/Rohdaten!Y84,"–")</f>
        <v>33.3333333333333</v>
      </c>
      <c r="V84" s="8" t="n">
        <f aca="false">IFERROR(Rohdaten!C84*100/Rohdaten!Z84,"–")</f>
        <v>0.163934426229508</v>
      </c>
    </row>
    <row r="85" customFormat="false" ht="15" hidden="false" customHeight="true" outlineLevel="0" collapsed="false">
      <c r="A85" s="4" t="str">
        <f aca="false">Rohdaten!A85</f>
        <v>Erbsen, gefroren</v>
      </c>
      <c r="B85" s="8" t="n">
        <f aca="false">Rohdaten!C85</f>
        <v>1.2</v>
      </c>
      <c r="C85" s="8" t="n">
        <f aca="false">IFERROR(Rohdaten!C85*100/Rohdaten!G85,"–")</f>
        <v>1.71428571428571</v>
      </c>
      <c r="D85" s="8" t="n">
        <f aca="false">IFERROR(Rohdaten!C85*100/(Rohdaten!H85*9),"–")</f>
        <v>33.3333333333333</v>
      </c>
      <c r="E85" s="8" t="n">
        <f aca="false">IFERROR(Rohdaten!C85*100/(Rohdaten!I85*4),"–")</f>
        <v>6</v>
      </c>
      <c r="F85" s="8" t="n">
        <f aca="false">IFERROR(Rohdaten!C85*100/(Rohdaten!J85*4),"–")</f>
        <v>2.5</v>
      </c>
      <c r="G85" s="9" t="n">
        <f aca="false">IFERROR(Rohdaten!C85*100/Rohdaten!K85,"–")</f>
        <v>3.42857142857143</v>
      </c>
      <c r="H85" s="8" t="n">
        <f aca="false">IFERROR(Rohdaten!C85*100/Rohdaten!L85,"–")</f>
        <v>8</v>
      </c>
      <c r="I85" s="9" t="str">
        <f aca="false">IFERROR(Rohdaten!C85*100/Rohdaten!M85,"–")</f>
        <v>–</v>
      </c>
      <c r="J85" s="8" t="n">
        <f aca="false">IFERROR(Rohdaten!C85*100/Rohdaten!N85,"–")</f>
        <v>1200</v>
      </c>
      <c r="K85" s="9" t="n">
        <f aca="false">IFERROR(Rohdaten!C85*100/Rohdaten!O85,"–")</f>
        <v>6</v>
      </c>
      <c r="L85" s="8" t="n">
        <f aca="false">IFERROR(Rohdaten!C85*100/Rohdaten!P85,"–")</f>
        <v>800</v>
      </c>
      <c r="M85" s="8" t="n">
        <f aca="false">IFERROR(Rohdaten!C85*100/Rohdaten!Q85,"–")</f>
        <v>1200</v>
      </c>
      <c r="N85" s="8" t="n">
        <f aca="false">IFERROR(Rohdaten!C85*100/Rohdaten!R85,"–")</f>
        <v>80</v>
      </c>
      <c r="O85" s="8" t="n">
        <f aca="false">IFERROR(Rohdaten!C85*100/Rohdaten!S85,"–")</f>
        <v>1200</v>
      </c>
      <c r="P85" s="9" t="n">
        <f aca="false">IFERROR(Rohdaten!C85*100/Rohdaten!T85,"–")</f>
        <v>4</v>
      </c>
      <c r="Q85" s="9" t="str">
        <f aca="false">IFERROR(Rohdaten!C85*100/Rohdaten!U85,"–")</f>
        <v>–</v>
      </c>
      <c r="R85" s="8" t="n">
        <f aca="false">IFERROR(Rohdaten!C85*100/Rohdaten!V85,"–")</f>
        <v>4.8</v>
      </c>
      <c r="S85" s="8" t="n">
        <f aca="false">IFERROR(Rohdaten!C85*100/Rohdaten!W85,"–")</f>
        <v>85.7142857142857</v>
      </c>
      <c r="T85" s="8" t="n">
        <f aca="false">IFERROR(Rohdaten!C85*100/Rohdaten!X85,"–")</f>
        <v>4</v>
      </c>
      <c r="U85" s="8" t="n">
        <f aca="false">IFERROR(Rohdaten!C85*100/Rohdaten!Y85,"–")</f>
        <v>109.090909090909</v>
      </c>
      <c r="V85" s="8" t="n">
        <f aca="false">IFERROR(Rohdaten!C85*100/Rohdaten!Z85,"–")</f>
        <v>0.545454545454545</v>
      </c>
    </row>
    <row r="86" customFormat="false" ht="15" hidden="false" customHeight="true" outlineLevel="0" collapsed="false">
      <c r="A86" s="4" t="str">
        <f aca="false">Rohdaten!A86</f>
        <v>Erbsen, grün, Dose</v>
      </c>
      <c r="B86" s="8" t="n">
        <f aca="false">Rohdaten!C86</f>
        <v>1.7</v>
      </c>
      <c r="C86" s="8" t="n">
        <f aca="false">IFERROR(Rohdaten!C86*100/Rohdaten!G86,"–")</f>
        <v>2.61538461538462</v>
      </c>
      <c r="D86" s="8" t="n">
        <f aca="false">IFERROR(Rohdaten!C86*100/(Rohdaten!H86*9),"–")</f>
        <v>62.962962962963</v>
      </c>
      <c r="E86" s="8" t="n">
        <f aca="false">IFERROR(Rohdaten!C86*100/(Rohdaten!I86*4),"–")</f>
        <v>9.44444444444445</v>
      </c>
      <c r="F86" s="8" t="n">
        <f aca="false">IFERROR(Rohdaten!C86*100/(Rohdaten!J86*4),"–")</f>
        <v>3.86363636363636</v>
      </c>
      <c r="G86" s="9" t="n">
        <f aca="false">IFERROR(Rohdaten!C86*100/Rohdaten!K86,"–")</f>
        <v>5.66666666666667</v>
      </c>
      <c r="H86" s="8" t="n">
        <f aca="false">IFERROR(Rohdaten!C86*100/Rohdaten!L86,"–")</f>
        <v>21.25</v>
      </c>
      <c r="I86" s="9" t="str">
        <f aca="false">IFERROR(Rohdaten!C86*100/Rohdaten!M86,"–")</f>
        <v>–</v>
      </c>
      <c r="J86" s="8" t="n">
        <f aca="false">IFERROR(Rohdaten!C86*100/Rohdaten!N86,"–")</f>
        <v>1700</v>
      </c>
      <c r="K86" s="9" t="n">
        <f aca="false">IFERROR(Rohdaten!C86*100/Rohdaten!O86,"–")</f>
        <v>11.3333333333333</v>
      </c>
      <c r="L86" s="8" t="n">
        <f aca="false">IFERROR(Rohdaten!C86*100/Rohdaten!P86,"–")</f>
        <v>1700</v>
      </c>
      <c r="M86" s="8" t="n">
        <f aca="false">IFERROR(Rohdaten!C86*100/Rohdaten!Q86,"–")</f>
        <v>2125</v>
      </c>
      <c r="N86" s="8" t="n">
        <f aca="false">IFERROR(Rohdaten!C86*100/Rohdaten!R86,"–")</f>
        <v>141.666666666667</v>
      </c>
      <c r="O86" s="8" t="n">
        <f aca="false">IFERROR(Rohdaten!C86*100/Rohdaten!S86,"–")</f>
        <v>2125</v>
      </c>
      <c r="P86" s="9" t="n">
        <f aca="false">IFERROR(Rohdaten!C86*100/Rohdaten!T86,"–")</f>
        <v>6.8</v>
      </c>
      <c r="Q86" s="9" t="str">
        <f aca="false">IFERROR(Rohdaten!C86*100/Rohdaten!U86,"–")</f>
        <v>–</v>
      </c>
      <c r="R86" s="8" t="n">
        <f aca="false">IFERROR(Rohdaten!C86*100/Rohdaten!V86,"–")</f>
        <v>8.5</v>
      </c>
      <c r="S86" s="8" t="n">
        <f aca="false">IFERROR(Rohdaten!C86*100/Rohdaten!W86,"–")</f>
        <v>141.666666666667</v>
      </c>
      <c r="T86" s="8" t="n">
        <f aca="false">IFERROR(Rohdaten!C86*100/Rohdaten!X86,"–")</f>
        <v>6.8</v>
      </c>
      <c r="U86" s="8" t="n">
        <f aca="false">IFERROR(Rohdaten!C86*100/Rohdaten!Y86,"–")</f>
        <v>170</v>
      </c>
      <c r="V86" s="8" t="n">
        <f aca="false">IFERROR(Rohdaten!C86*100/Rohdaten!Z86,"–")</f>
        <v>0.944444444444444</v>
      </c>
    </row>
    <row r="87" customFormat="false" ht="15" hidden="false" customHeight="true" outlineLevel="0" collapsed="false">
      <c r="A87" s="4" t="str">
        <f aca="false">Rohdaten!A87</f>
        <v>Erbsen, grün, Glas</v>
      </c>
      <c r="B87" s="8" t="n">
        <f aca="false">Rohdaten!C87</f>
        <v>1.7</v>
      </c>
      <c r="C87" s="8" t="n">
        <f aca="false">IFERROR(Rohdaten!C87*100/Rohdaten!G87,"–")</f>
        <v>2.61538461538462</v>
      </c>
      <c r="D87" s="8" t="n">
        <f aca="false">IFERROR(Rohdaten!C87*100/(Rohdaten!H87*9),"–")</f>
        <v>62.962962962963</v>
      </c>
      <c r="E87" s="8" t="n">
        <f aca="false">IFERROR(Rohdaten!C87*100/(Rohdaten!I87*4),"–")</f>
        <v>9.44444444444445</v>
      </c>
      <c r="F87" s="8" t="n">
        <f aca="false">IFERROR(Rohdaten!C87*100/(Rohdaten!J87*4),"–")</f>
        <v>3.86363636363636</v>
      </c>
      <c r="G87" s="9" t="n">
        <f aca="false">IFERROR(Rohdaten!C87*100/Rohdaten!K87,"–")</f>
        <v>5.66666666666667</v>
      </c>
      <c r="H87" s="8" t="n">
        <f aca="false">IFERROR(Rohdaten!C87*100/Rohdaten!L87,"–")</f>
        <v>21.25</v>
      </c>
      <c r="I87" s="9" t="str">
        <f aca="false">IFERROR(Rohdaten!C87*100/Rohdaten!M87,"–")</f>
        <v>–</v>
      </c>
      <c r="J87" s="8" t="n">
        <f aca="false">IFERROR(Rohdaten!C87*100/Rohdaten!N87,"–")</f>
        <v>1700</v>
      </c>
      <c r="K87" s="9" t="n">
        <f aca="false">IFERROR(Rohdaten!C87*100/Rohdaten!O87,"–")</f>
        <v>11.3333333333333</v>
      </c>
      <c r="L87" s="8" t="n">
        <f aca="false">IFERROR(Rohdaten!C87*100/Rohdaten!P87,"–")</f>
        <v>1700</v>
      </c>
      <c r="M87" s="8" t="n">
        <f aca="false">IFERROR(Rohdaten!C87*100/Rohdaten!Q87,"–")</f>
        <v>2125</v>
      </c>
      <c r="N87" s="8" t="n">
        <f aca="false">IFERROR(Rohdaten!C87*100/Rohdaten!R87,"–")</f>
        <v>141.666666666667</v>
      </c>
      <c r="O87" s="8" t="n">
        <f aca="false">IFERROR(Rohdaten!C87*100/Rohdaten!S87,"–")</f>
        <v>2125</v>
      </c>
      <c r="P87" s="9" t="n">
        <f aca="false">IFERROR(Rohdaten!C87*100/Rohdaten!T87,"–")</f>
        <v>6.8</v>
      </c>
      <c r="Q87" s="9" t="str">
        <f aca="false">IFERROR(Rohdaten!C87*100/Rohdaten!U87,"–")</f>
        <v>–</v>
      </c>
      <c r="R87" s="8" t="n">
        <f aca="false">IFERROR(Rohdaten!C87*100/Rohdaten!V87,"–")</f>
        <v>8.5</v>
      </c>
      <c r="S87" s="8" t="n">
        <f aca="false">IFERROR(Rohdaten!C87*100/Rohdaten!W87,"–")</f>
        <v>141.666666666667</v>
      </c>
      <c r="T87" s="8" t="n">
        <f aca="false">IFERROR(Rohdaten!C87*100/Rohdaten!X87,"–")</f>
        <v>6.8</v>
      </c>
      <c r="U87" s="8" t="n">
        <f aca="false">IFERROR(Rohdaten!C87*100/Rohdaten!Y87,"–")</f>
        <v>170</v>
      </c>
      <c r="V87" s="8" t="n">
        <f aca="false">IFERROR(Rohdaten!C87*100/Rohdaten!Z87,"–")</f>
        <v>0.944444444444444</v>
      </c>
    </row>
    <row r="88" customFormat="false" ht="15" hidden="false" customHeight="true" outlineLevel="0" collapsed="false">
      <c r="A88" s="4" t="str">
        <f aca="false">Rohdaten!A88</f>
        <v>Erbsen, getrocknet</v>
      </c>
      <c r="B88" s="8" t="n">
        <f aca="false">Rohdaten!C88</f>
        <v>2.3</v>
      </c>
      <c r="C88" s="8" t="n">
        <f aca="false">IFERROR(Rohdaten!C88*100/Rohdaten!G88,"–")</f>
        <v>0.676470588235294</v>
      </c>
      <c r="D88" s="8" t="n">
        <f aca="false">IFERROR(Rohdaten!C88*100/(Rohdaten!H88*9),"–")</f>
        <v>21.2962962962963</v>
      </c>
      <c r="E88" s="8" t="n">
        <f aca="false">IFERROR(Rohdaten!C88*100/(Rohdaten!I88*4),"–")</f>
        <v>2.39583333333333</v>
      </c>
      <c r="F88" s="8" t="n">
        <f aca="false">IFERROR(Rohdaten!C88*100/(Rohdaten!J88*4),"–")</f>
        <v>0.958333333333333</v>
      </c>
      <c r="G88" s="9" t="n">
        <f aca="false">IFERROR(Rohdaten!C88*100/Rohdaten!K88,"–")</f>
        <v>46</v>
      </c>
      <c r="H88" s="8" t="n">
        <f aca="false">IFERROR(Rohdaten!C88*100/Rohdaten!L88,"–")</f>
        <v>230</v>
      </c>
      <c r="I88" s="9" t="str">
        <f aca="false">IFERROR(Rohdaten!C88*100/Rohdaten!M88,"–")</f>
        <v>–</v>
      </c>
      <c r="J88" s="8" t="n">
        <f aca="false">IFERROR(Rohdaten!C88*100/Rohdaten!N88,"–")</f>
        <v>1150</v>
      </c>
      <c r="K88" s="9" t="n">
        <f aca="false">IFERROR(Rohdaten!C88*100/Rohdaten!O88,"–")</f>
        <v>23</v>
      </c>
      <c r="L88" s="8" t="n">
        <f aca="false">IFERROR(Rohdaten!C88*100/Rohdaten!P88,"–")</f>
        <v>319.444444444444</v>
      </c>
      <c r="M88" s="8" t="n">
        <f aca="false">IFERROR(Rohdaten!C88*100/Rohdaten!Q88,"–")</f>
        <v>766.666666666667</v>
      </c>
      <c r="N88" s="8" t="n">
        <f aca="false">IFERROR(Rohdaten!C88*100/Rohdaten!R88,"–")</f>
        <v>76.6666666666667</v>
      </c>
      <c r="O88" s="8" t="n">
        <f aca="false">IFERROR(Rohdaten!C88*100/Rohdaten!S88,"–")</f>
        <v>766.666666666667</v>
      </c>
      <c r="P88" s="9" t="n">
        <f aca="false">IFERROR(Rohdaten!C88*100/Rohdaten!T88,"–")</f>
        <v>0.851851851851852</v>
      </c>
      <c r="Q88" s="9" t="str">
        <f aca="false">IFERROR(Rohdaten!C88*100/Rohdaten!U88,"–")</f>
        <v>–</v>
      </c>
      <c r="R88" s="8" t="n">
        <f aca="false">IFERROR(Rohdaten!C88*100/Rohdaten!V88,"–")</f>
        <v>4.18181818181818</v>
      </c>
      <c r="S88" s="8" t="n">
        <f aca="false">IFERROR(Rohdaten!C88*100/Rohdaten!W88,"–")</f>
        <v>47.9166666666667</v>
      </c>
      <c r="T88" s="8" t="n">
        <f aca="false">IFERROR(Rohdaten!C88*100/Rohdaten!X88,"–")</f>
        <v>1.91666666666667</v>
      </c>
      <c r="U88" s="8" t="n">
        <f aca="false">IFERROR(Rohdaten!C88*100/Rohdaten!Y88,"–")</f>
        <v>65.7142857142857</v>
      </c>
      <c r="V88" s="8" t="n">
        <f aca="false">IFERROR(Rohdaten!C88*100/Rohdaten!Z88,"–")</f>
        <v>0.23469387755102</v>
      </c>
    </row>
    <row r="89" customFormat="false" ht="15" hidden="false" customHeight="true" outlineLevel="0" collapsed="false">
      <c r="A89" s="4" t="str">
        <f aca="false">Rohdaten!A89</f>
        <v>Mais, Dose</v>
      </c>
      <c r="B89" s="8" t="n">
        <f aca="false">Rohdaten!C89</f>
        <v>1.2</v>
      </c>
      <c r="C89" s="8" t="n">
        <f aca="false">IFERROR(Rohdaten!C89*100/Rohdaten!G89,"–")</f>
        <v>1.6</v>
      </c>
      <c r="D89" s="8" t="n">
        <f aca="false">IFERROR(Rohdaten!C89*100/(Rohdaten!H89*9),"–")</f>
        <v>19.047619047619</v>
      </c>
      <c r="E89" s="8" t="n">
        <f aca="false">IFERROR(Rohdaten!C89*100/(Rohdaten!I89*4),"–")</f>
        <v>12</v>
      </c>
      <c r="F89" s="8" t="n">
        <f aca="false">IFERROR(Rohdaten!C89*100/(Rohdaten!J89*4),"–")</f>
        <v>1.875</v>
      </c>
      <c r="G89" s="9" t="n">
        <f aca="false">IFERROR(Rohdaten!C89*100/Rohdaten!K89,"–")</f>
        <v>15</v>
      </c>
      <c r="H89" s="8" t="n">
        <f aca="false">IFERROR(Rohdaten!C89*100/Rohdaten!L89,"–")</f>
        <v>24</v>
      </c>
      <c r="I89" s="9" t="str">
        <f aca="false">IFERROR(Rohdaten!C89*100/Rohdaten!M89,"–")</f>
        <v>–</v>
      </c>
      <c r="J89" s="8" t="n">
        <f aca="false">IFERROR(Rohdaten!C89*100/Rohdaten!N89,"–")</f>
        <v>1200</v>
      </c>
      <c r="K89" s="9" t="n">
        <f aca="false">IFERROR(Rohdaten!C89*100/Rohdaten!O89,"–")</f>
        <v>400</v>
      </c>
      <c r="L89" s="8" t="n">
        <f aca="false">IFERROR(Rohdaten!C89*100/Rohdaten!P89,"–")</f>
        <v>1200</v>
      </c>
      <c r="M89" s="8" t="n">
        <f aca="false">IFERROR(Rohdaten!C89*100/Rohdaten!Q89,"–")</f>
        <v>2400</v>
      </c>
      <c r="N89" s="8" t="n">
        <f aca="false">IFERROR(Rohdaten!C89*100/Rohdaten!R89,"–")</f>
        <v>100</v>
      </c>
      <c r="O89" s="8" t="n">
        <f aca="false">IFERROR(Rohdaten!C89*100/Rohdaten!S89,"–")</f>
        <v>2400</v>
      </c>
      <c r="P89" s="9" t="n">
        <f aca="false">IFERROR(Rohdaten!C89*100/Rohdaten!T89,"–")</f>
        <v>4</v>
      </c>
      <c r="Q89" s="9" t="str">
        <f aca="false">IFERROR(Rohdaten!C89*100/Rohdaten!U89,"–")</f>
        <v>–</v>
      </c>
      <c r="R89" s="8" t="n">
        <f aca="false">IFERROR(Rohdaten!C89*100/Rohdaten!V89,"–")</f>
        <v>40</v>
      </c>
      <c r="S89" s="8" t="n">
        <f aca="false">IFERROR(Rohdaten!C89*100/Rohdaten!W89,"–")</f>
        <v>300</v>
      </c>
      <c r="T89" s="8" t="n">
        <f aca="false">IFERROR(Rohdaten!C89*100/Rohdaten!X89,"–")</f>
        <v>6</v>
      </c>
      <c r="U89" s="8" t="n">
        <f aca="false">IFERROR(Rohdaten!C89*100/Rohdaten!Y89,"–")</f>
        <v>300</v>
      </c>
      <c r="V89" s="8" t="n">
        <f aca="false">IFERROR(Rohdaten!C89*100/Rohdaten!Z89,"–")</f>
        <v>0.545454545454545</v>
      </c>
    </row>
    <row r="90" customFormat="false" ht="15" hidden="false" customHeight="true" outlineLevel="0" collapsed="false">
      <c r="A90" s="4" t="str">
        <f aca="false">Rohdaten!A90</f>
        <v>Tofu, Durchschnitt</v>
      </c>
      <c r="B90" s="8" t="n">
        <f aca="false">Rohdaten!C90</f>
        <v>1</v>
      </c>
      <c r="C90" s="8" t="n">
        <f aca="false">IFERROR(Rohdaten!C90*100/Rohdaten!G90,"–")</f>
        <v>0.689655172413793</v>
      </c>
      <c r="D90" s="8" t="n">
        <f aca="false">IFERROR(Rohdaten!C90*100/(Rohdaten!H90*9),"–")</f>
        <v>1.23456790123457</v>
      </c>
      <c r="E90" s="8" t="n">
        <f aca="false">IFERROR(Rohdaten!C90*100/(Rohdaten!I90*4),"–")</f>
        <v>1.66666666666667</v>
      </c>
      <c r="F90" s="8" t="n">
        <f aca="false">IFERROR(Rohdaten!C90*100/(Rohdaten!J90*4),"–")</f>
        <v>8.33333333333333</v>
      </c>
      <c r="G90" s="9" t="str">
        <f aca="false">IFERROR(Rohdaten!C90*100/Rohdaten!K90,"–")</f>
        <v>–</v>
      </c>
      <c r="H90" s="8" t="str">
        <f aca="false">IFERROR(Rohdaten!C90*100/Rohdaten!L90,"–")</f>
        <v>–</v>
      </c>
      <c r="I90" s="9" t="str">
        <f aca="false">IFERROR(Rohdaten!C90*100/Rohdaten!M90,"–")</f>
        <v>–</v>
      </c>
      <c r="J90" s="8" t="n">
        <f aca="false">IFERROR(Rohdaten!C90*100/Rohdaten!N90,"–")</f>
        <v>1000</v>
      </c>
      <c r="K90" s="9" t="n">
        <f aca="false">IFERROR(Rohdaten!C90*100/Rohdaten!O90,"–")</f>
        <v>50</v>
      </c>
      <c r="L90" s="8" t="n">
        <f aca="false">IFERROR(Rohdaten!C90*100/Rohdaten!P90,"–")</f>
        <v>1250</v>
      </c>
      <c r="M90" s="8" t="n">
        <f aca="false">IFERROR(Rohdaten!C90*100/Rohdaten!Q90,"–")</f>
        <v>2000</v>
      </c>
      <c r="N90" s="8" t="n">
        <f aca="false">IFERROR(Rohdaten!C90*100/Rohdaten!R90,"–")</f>
        <v>500</v>
      </c>
      <c r="O90" s="8" t="n">
        <f aca="false">IFERROR(Rohdaten!C90*100/Rohdaten!S90,"–")</f>
        <v>2000</v>
      </c>
      <c r="P90" s="9" t="n">
        <f aca="false">IFERROR(Rohdaten!C90*100/Rohdaten!T90,"–")</f>
        <v>6.66666666666667</v>
      </c>
      <c r="Q90" s="9" t="str">
        <f aca="false">IFERROR(Rohdaten!C90*100/Rohdaten!U90,"–")</f>
        <v>–</v>
      </c>
      <c r="R90" s="8" t="n">
        <f aca="false">IFERROR(Rohdaten!C90*100/Rohdaten!V90,"–")</f>
        <v>0.5</v>
      </c>
      <c r="S90" s="8" t="n">
        <f aca="false">IFERROR(Rohdaten!C90*100/Rohdaten!W90,"–")</f>
        <v>37.037037037037</v>
      </c>
      <c r="T90" s="8" t="n">
        <f aca="false">IFERROR(Rohdaten!C90*100/Rohdaten!X90,"–")</f>
        <v>3.33333333333333</v>
      </c>
      <c r="U90" s="8" t="n">
        <f aca="false">IFERROR(Rohdaten!C90*100/Rohdaten!Y90,"–")</f>
        <v>100</v>
      </c>
      <c r="V90" s="8" t="n">
        <f aca="false">IFERROR(Rohdaten!C90*100/Rohdaten!Z90,"–")</f>
        <v>0.666666666666667</v>
      </c>
    </row>
    <row r="91" customFormat="false" ht="15" hidden="false" customHeight="true" outlineLevel="0" collapsed="false">
      <c r="A91" s="4" t="str">
        <f aca="false">Rohdaten!A91</f>
        <v>Tempeh</v>
      </c>
      <c r="B91" s="8" t="n">
        <f aca="false">Rohdaten!C91</f>
        <v>0.7</v>
      </c>
      <c r="C91" s="8" t="n">
        <f aca="false">IFERROR(Rohdaten!C91*100/Rohdaten!G91,"–")</f>
        <v>0.358974358974359</v>
      </c>
      <c r="D91" s="8" t="n">
        <f aca="false">IFERROR(Rohdaten!C91*100/(Rohdaten!H91*9),"–")</f>
        <v>0.707070707070707</v>
      </c>
      <c r="E91" s="8" t="n">
        <f aca="false">IFERROR(Rohdaten!C91*100/(Rohdaten!I91*4),"–")</f>
        <v>0.921052631578947</v>
      </c>
      <c r="F91" s="8" t="n">
        <f aca="false">IFERROR(Rohdaten!C91*100/(Rohdaten!J91*4),"–")</f>
        <v>1.94444444444444</v>
      </c>
      <c r="G91" s="9" t="str">
        <f aca="false">IFERROR(Rohdaten!C91*100/Rohdaten!K91,"–")</f>
        <v>–</v>
      </c>
      <c r="H91" s="8" t="str">
        <f aca="false">IFERROR(Rohdaten!C91*100/Rohdaten!L91,"–")</f>
        <v>–</v>
      </c>
      <c r="I91" s="9" t="str">
        <f aca="false">IFERROR(Rohdaten!C91*100/Rohdaten!M91,"–")</f>
        <v>–</v>
      </c>
      <c r="J91" s="8" t="n">
        <f aca="false">IFERROR(Rohdaten!C91*100/Rohdaten!N91,"–")</f>
        <v>700</v>
      </c>
      <c r="K91" s="9" t="str">
        <f aca="false">IFERROR(Rohdaten!C91*100/Rohdaten!O91,"–")</f>
        <v>–</v>
      </c>
      <c r="L91" s="8" t="n">
        <f aca="false">IFERROR(Rohdaten!C91*100/Rohdaten!P91,"–")</f>
        <v>700</v>
      </c>
      <c r="M91" s="8" t="n">
        <f aca="false">IFERROR(Rohdaten!C91*100/Rohdaten!Q91,"–")</f>
        <v>233.333333333333</v>
      </c>
      <c r="N91" s="8" t="n">
        <f aca="false">IFERROR(Rohdaten!C91*100/Rohdaten!R91,"–")</f>
        <v>23.3333333333333</v>
      </c>
      <c r="O91" s="8" t="n">
        <f aca="false">IFERROR(Rohdaten!C91*100/Rohdaten!S91,"–")</f>
        <v>350</v>
      </c>
      <c r="P91" s="9" t="n">
        <f aca="false">IFERROR(Rohdaten!C91*100/Rohdaten!T91,"–")</f>
        <v>2.91666666666667</v>
      </c>
      <c r="Q91" s="9" t="str">
        <f aca="false">IFERROR(Rohdaten!C91*100/Rohdaten!U91,"–")</f>
        <v>–</v>
      </c>
      <c r="R91" s="8" t="n">
        <f aca="false">IFERROR(Rohdaten!C91*100/Rohdaten!V91,"–")</f>
        <v>0.630630630630631</v>
      </c>
      <c r="S91" s="8" t="n">
        <f aca="false">IFERROR(Rohdaten!C91*100/Rohdaten!W91,"–")</f>
        <v>25.9259259259259</v>
      </c>
      <c r="T91" s="8" t="n">
        <f aca="false">IFERROR(Rohdaten!C91*100/Rohdaten!X91,"–")</f>
        <v>0.864197530864198</v>
      </c>
      <c r="U91" s="8" t="n">
        <f aca="false">IFERROR(Rohdaten!C91*100/Rohdaten!Y91,"–")</f>
        <v>63.6363636363636</v>
      </c>
      <c r="V91" s="8" t="n">
        <f aca="false">IFERROR(Rohdaten!C91*100/Rohdaten!Z91,"–")</f>
        <v>0.169902912621359</v>
      </c>
    </row>
    <row r="92" customFormat="false" ht="15" hidden="false" customHeight="true" outlineLevel="0" collapsed="false">
      <c r="A92" s="4" t="str">
        <f aca="false">Rohdaten!A92</f>
        <v>Seitan</v>
      </c>
      <c r="B92" s="8" t="n">
        <f aca="false">Rohdaten!C92</f>
        <v>2.5</v>
      </c>
      <c r="C92" s="8" t="n">
        <f aca="false">IFERROR(Rohdaten!C92*100/Rohdaten!G92,"–")</f>
        <v>0.675675675675676</v>
      </c>
      <c r="D92" s="8" t="n">
        <f aca="false">IFERROR(Rohdaten!C92*100/(Rohdaten!H92*9),"–")</f>
        <v>13.8888888888889</v>
      </c>
      <c r="E92" s="8" t="n">
        <f aca="false">IFERROR(Rohdaten!C92*100/(Rohdaten!I92*4),"–")</f>
        <v>0.833333333333333</v>
      </c>
      <c r="F92" s="8" t="n">
        <f aca="false">IFERROR(Rohdaten!C92*100/(Rohdaten!J92*4),"–")</f>
        <v>4.46428571428571</v>
      </c>
      <c r="G92" s="9" t="str">
        <f aca="false">IFERROR(Rohdaten!C92*100/Rohdaten!K92,"–")</f>
        <v>–</v>
      </c>
      <c r="H92" s="8" t="str">
        <f aca="false">IFERROR(Rohdaten!C92*100/Rohdaten!L92,"–")</f>
        <v>–</v>
      </c>
      <c r="I92" s="9" t="str">
        <f aca="false">IFERROR(Rohdaten!C92*100/Rohdaten!M92,"–")</f>
        <v>–</v>
      </c>
      <c r="J92" s="8" t="str">
        <f aca="false">IFERROR(Rohdaten!C92*100/Rohdaten!N92,"–")</f>
        <v>–</v>
      </c>
      <c r="K92" s="9" t="str">
        <f aca="false">IFERROR(Rohdaten!C92*100/Rohdaten!O92,"–")</f>
        <v>–</v>
      </c>
      <c r="L92" s="8" t="n">
        <f aca="false">IFERROR(Rohdaten!C92*100/Rohdaten!P92,"–")</f>
        <v>2500</v>
      </c>
      <c r="M92" s="8" t="n">
        <f aca="false">IFERROR(Rohdaten!C92*100/Rohdaten!Q92,"–")</f>
        <v>2500</v>
      </c>
      <c r="N92" s="8" t="n">
        <f aca="false">IFERROR(Rohdaten!C92*100/Rohdaten!R92,"–")</f>
        <v>83.3333333333333</v>
      </c>
      <c r="O92" s="8" t="n">
        <f aca="false">IFERROR(Rohdaten!C92*100/Rohdaten!S92,"–")</f>
        <v>5000</v>
      </c>
      <c r="P92" s="9" t="n">
        <f aca="false">IFERROR(Rohdaten!C92*100/Rohdaten!T92,"–")</f>
        <v>12.5</v>
      </c>
      <c r="Q92" s="9" t="str">
        <f aca="false">IFERROR(Rohdaten!C92*100/Rohdaten!U92,"–")</f>
        <v>–</v>
      </c>
      <c r="R92" s="8" t="n">
        <f aca="false">IFERROR(Rohdaten!C92*100/Rohdaten!V92,"–")</f>
        <v>8.33333333333333</v>
      </c>
      <c r="S92" s="8" t="n">
        <f aca="false">IFERROR(Rohdaten!C92*100/Rohdaten!W92,"–")</f>
        <v>62.5</v>
      </c>
      <c r="T92" s="8" t="n">
        <f aca="false">IFERROR(Rohdaten!C92*100/Rohdaten!X92,"–")</f>
        <v>6.25</v>
      </c>
      <c r="U92" s="8" t="n">
        <f aca="false">IFERROR(Rohdaten!C92*100/Rohdaten!Y92,"–")</f>
        <v>250</v>
      </c>
      <c r="V92" s="8" t="n">
        <f aca="false">IFERROR(Rohdaten!C92*100/Rohdaten!Z92,"–")</f>
        <v>1.66666666666667</v>
      </c>
    </row>
    <row r="93" customFormat="false" ht="15" hidden="false" customHeight="true" outlineLevel="0" collapsed="false">
      <c r="A93" s="4" t="str">
        <f aca="false">Rohdaten!A93</f>
        <v>Sojagranulat</v>
      </c>
      <c r="B93" s="8" t="n">
        <f aca="false">Rohdaten!C93</f>
        <v>1</v>
      </c>
      <c r="C93" s="8" t="n">
        <f aca="false">IFERROR(Rohdaten!C93*100/Rohdaten!G93,"–")</f>
        <v>0.294117647058824</v>
      </c>
      <c r="D93" s="8" t="n">
        <f aca="false">IFERROR(Rohdaten!C93*100/(Rohdaten!H93*9),"–")</f>
        <v>11.1111111111111</v>
      </c>
      <c r="E93" s="8" t="n">
        <f aca="false">IFERROR(Rohdaten!C93*100/(Rohdaten!I93*4),"–")</f>
        <v>0.5</v>
      </c>
      <c r="F93" s="8" t="n">
        <f aca="false">IFERROR(Rohdaten!C93*100/(Rohdaten!J93*4),"–")</f>
        <v>0.833333333333333</v>
      </c>
      <c r="G93" s="9" t="str">
        <f aca="false">IFERROR(Rohdaten!C93*100/Rohdaten!K93,"–")</f>
        <v>–</v>
      </c>
      <c r="H93" s="8" t="str">
        <f aca="false">IFERROR(Rohdaten!C93*100/Rohdaten!L93,"–")</f>
        <v>–</v>
      </c>
      <c r="I93" s="9" t="str">
        <f aca="false">IFERROR(Rohdaten!C93*100/Rohdaten!M93,"–")</f>
        <v>–</v>
      </c>
      <c r="J93" s="8" t="n">
        <f aca="false">IFERROR(Rohdaten!C93*100/Rohdaten!N93,"–")</f>
        <v>1000</v>
      </c>
      <c r="K93" s="9" t="str">
        <f aca="false">IFERROR(Rohdaten!C93*100/Rohdaten!O93,"–")</f>
        <v>–</v>
      </c>
      <c r="L93" s="8" t="n">
        <f aca="false">IFERROR(Rohdaten!C93*100/Rohdaten!P93,"–")</f>
        <v>333.333333333333</v>
      </c>
      <c r="M93" s="8" t="n">
        <f aca="false">IFERROR(Rohdaten!C93*100/Rohdaten!Q93,"–")</f>
        <v>333.333333333333</v>
      </c>
      <c r="N93" s="8" t="n">
        <f aca="false">IFERROR(Rohdaten!C93*100/Rohdaten!R93,"–")</f>
        <v>50</v>
      </c>
      <c r="O93" s="8" t="n">
        <f aca="false">IFERROR(Rohdaten!C93*100/Rohdaten!S93,"–")</f>
        <v>333.333333333333</v>
      </c>
      <c r="P93" s="9" t="n">
        <f aca="false">IFERROR(Rohdaten!C93*100/Rohdaten!T93,"–")</f>
        <v>0.5</v>
      </c>
      <c r="Q93" s="9" t="str">
        <f aca="false">IFERROR(Rohdaten!C93*100/Rohdaten!U93,"–")</f>
        <v>–</v>
      </c>
      <c r="R93" s="8" t="n">
        <f aca="false">IFERROR(Rohdaten!C93*100/Rohdaten!V93,"–")</f>
        <v>0.5</v>
      </c>
      <c r="S93" s="8" t="n">
        <f aca="false">IFERROR(Rohdaten!C93*100/Rohdaten!W93,"–")</f>
        <v>11.1111111111111</v>
      </c>
      <c r="T93" s="8" t="n">
        <f aca="false">IFERROR(Rohdaten!C93*100/Rohdaten!X93,"–")</f>
        <v>0.416666666666667</v>
      </c>
      <c r="U93" s="8" t="n">
        <f aca="false">IFERROR(Rohdaten!C93*100/Rohdaten!Y93,"–")</f>
        <v>25</v>
      </c>
      <c r="V93" s="8" t="n">
        <f aca="false">IFERROR(Rohdaten!C93*100/Rohdaten!Z93,"–")</f>
        <v>0.0476190476190476</v>
      </c>
    </row>
    <row r="94" customFormat="false" ht="15" hidden="false" customHeight="true" outlineLevel="0" collapsed="false">
      <c r="A94" s="4" t="str">
        <f aca="false">Rohdaten!A94</f>
        <v>Lupinenmehl</v>
      </c>
      <c r="B94" s="8" t="n">
        <f aca="false">Rohdaten!C94</f>
        <v>0.4</v>
      </c>
      <c r="C94" s="8" t="n">
        <f aca="false">IFERROR(Rohdaten!C94*100/Rohdaten!G94,"–")</f>
        <v>0.114285714285714</v>
      </c>
      <c r="D94" s="8" t="n">
        <f aca="false">IFERROR(Rohdaten!C94*100/(Rohdaten!H94*9),"–")</f>
        <v>0.555555555555556</v>
      </c>
      <c r="E94" s="8" t="n">
        <f aca="false">IFERROR(Rohdaten!C94*100/(Rohdaten!I94*4),"–")</f>
        <v>0.25</v>
      </c>
      <c r="F94" s="8" t="n">
        <f aca="false">IFERROR(Rohdaten!C94*100/(Rohdaten!J94*4),"–")</f>
        <v>0.5</v>
      </c>
      <c r="G94" s="9" t="str">
        <f aca="false">IFERROR(Rohdaten!C94*100/Rohdaten!K94,"–")</f>
        <v>–</v>
      </c>
      <c r="H94" s="8" t="str">
        <f aca="false">IFERROR(Rohdaten!C94*100/Rohdaten!L94,"–")</f>
        <v>–</v>
      </c>
      <c r="I94" s="9" t="str">
        <f aca="false">IFERROR(Rohdaten!C94*100/Rohdaten!M94,"–")</f>
        <v>–</v>
      </c>
      <c r="J94" s="8" t="n">
        <f aca="false">IFERROR(Rohdaten!C94*100/Rohdaten!N94,"–")</f>
        <v>80</v>
      </c>
      <c r="K94" s="9" t="str">
        <f aca="false">IFERROR(Rohdaten!C94*100/Rohdaten!O94,"–")</f>
        <v>–</v>
      </c>
      <c r="L94" s="8" t="n">
        <f aca="false">IFERROR(Rohdaten!C94*100/Rohdaten!P94,"–")</f>
        <v>133.333333333333</v>
      </c>
      <c r="M94" s="8" t="n">
        <f aca="false">IFERROR(Rohdaten!C94*100/Rohdaten!Q94,"–")</f>
        <v>200</v>
      </c>
      <c r="N94" s="8" t="n">
        <f aca="false">IFERROR(Rohdaten!C94*100/Rohdaten!R94,"–")</f>
        <v>20</v>
      </c>
      <c r="O94" s="8" t="n">
        <f aca="false">IFERROR(Rohdaten!C94*100/Rohdaten!S94,"–")</f>
        <v>133.333333333333</v>
      </c>
      <c r="P94" s="9" t="n">
        <f aca="false">IFERROR(Rohdaten!C94*100/Rohdaten!T94,"–")</f>
        <v>0.266666666666667</v>
      </c>
      <c r="Q94" s="9" t="str">
        <f aca="false">IFERROR(Rohdaten!C94*100/Rohdaten!U94,"–")</f>
        <v>–</v>
      </c>
      <c r="R94" s="8" t="n">
        <f aca="false">IFERROR(Rohdaten!C94*100/Rohdaten!V94,"–")</f>
        <v>0.266666666666667</v>
      </c>
      <c r="S94" s="8" t="n">
        <f aca="false">IFERROR(Rohdaten!C94*100/Rohdaten!W94,"–")</f>
        <v>10</v>
      </c>
      <c r="T94" s="8" t="n">
        <f aca="false">IFERROR(Rohdaten!C94*100/Rohdaten!X94,"–")</f>
        <v>0.333333333333333</v>
      </c>
      <c r="U94" s="8" t="n">
        <f aca="false">IFERROR(Rohdaten!C94*100/Rohdaten!Y94,"–")</f>
        <v>13.3333333333333</v>
      </c>
      <c r="V94" s="8" t="n">
        <f aca="false">IFERROR(Rohdaten!C94*100/Rohdaten!Z94,"–")</f>
        <v>0.0444444444444444</v>
      </c>
    </row>
    <row r="95" customFormat="false" ht="15" hidden="false" customHeight="true" outlineLevel="0" collapsed="false">
      <c r="A95" s="4" t="str">
        <f aca="false">Rohdaten!A95</f>
        <v>Veggie-Bratling, Sojabasis</v>
      </c>
      <c r="B95" s="8" t="n">
        <f aca="false">Rohdaten!C95</f>
        <v>1.1</v>
      </c>
      <c r="C95" s="8" t="n">
        <f aca="false">IFERROR(Rohdaten!C95*100/Rohdaten!G95,"–")</f>
        <v>0.611111111111111</v>
      </c>
      <c r="D95" s="8" t="n">
        <f aca="false">IFERROR(Rohdaten!C95*100/(Rohdaten!H95*9),"–")</f>
        <v>1.35802469135803</v>
      </c>
      <c r="E95" s="8" t="n">
        <f aca="false">IFERROR(Rohdaten!C95*100/(Rohdaten!I95*4),"–")</f>
        <v>1.83333333333333</v>
      </c>
      <c r="F95" s="8" t="n">
        <f aca="false">IFERROR(Rohdaten!C95*100/(Rohdaten!J95*4),"–")</f>
        <v>2.75</v>
      </c>
      <c r="G95" s="9" t="str">
        <f aca="false">IFERROR(Rohdaten!C95*100/Rohdaten!K95,"–")</f>
        <v>–</v>
      </c>
      <c r="H95" s="8" t="str">
        <f aca="false">IFERROR(Rohdaten!C95*100/Rohdaten!L95,"–")</f>
        <v>–</v>
      </c>
      <c r="I95" s="9" t="str">
        <f aca="false">IFERROR(Rohdaten!C95*100/Rohdaten!M95,"–")</f>
        <v>–</v>
      </c>
      <c r="J95" s="8" t="n">
        <f aca="false">IFERROR(Rohdaten!C95*100/Rohdaten!N95,"–")</f>
        <v>220</v>
      </c>
      <c r="K95" s="9" t="n">
        <f aca="false">IFERROR(Rohdaten!C95*100/Rohdaten!O95,"–")</f>
        <v>36.6666666666667</v>
      </c>
      <c r="L95" s="8" t="n">
        <f aca="false">IFERROR(Rohdaten!C95*100/Rohdaten!P95,"–")</f>
        <v>1100</v>
      </c>
      <c r="M95" s="8" t="n">
        <f aca="false">IFERROR(Rohdaten!C95*100/Rohdaten!Q95,"–")</f>
        <v>1100</v>
      </c>
      <c r="N95" s="8" t="n">
        <f aca="false">IFERROR(Rohdaten!C95*100/Rohdaten!R95,"–")</f>
        <v>73.3333333333333</v>
      </c>
      <c r="O95" s="8" t="n">
        <f aca="false">IFERROR(Rohdaten!C95*100/Rohdaten!S95,"–")</f>
        <v>733.333333333334</v>
      </c>
      <c r="P95" s="9" t="n">
        <f aca="false">IFERROR(Rohdaten!C95*100/Rohdaten!T95,"–")</f>
        <v>3.66666666666667</v>
      </c>
      <c r="Q95" s="9" t="str">
        <f aca="false">IFERROR(Rohdaten!C95*100/Rohdaten!U95,"–")</f>
        <v>–</v>
      </c>
      <c r="R95" s="8" t="n">
        <f aca="false">IFERROR(Rohdaten!C95*100/Rohdaten!V95,"–")</f>
        <v>1.83333333333333</v>
      </c>
      <c r="S95" s="8" t="n">
        <f aca="false">IFERROR(Rohdaten!C95*100/Rohdaten!W95,"–")</f>
        <v>55</v>
      </c>
      <c r="T95" s="8" t="n">
        <f aca="false">IFERROR(Rohdaten!C95*100/Rohdaten!X95,"–")</f>
        <v>3.66666666666667</v>
      </c>
      <c r="U95" s="8" t="n">
        <f aca="false">IFERROR(Rohdaten!C95*100/Rohdaten!Y95,"–")</f>
        <v>91.6666666666667</v>
      </c>
      <c r="V95" s="8" t="n">
        <f aca="false">IFERROR(Rohdaten!C95*100/Rohdaten!Z95,"–")</f>
        <v>0.366666666666667</v>
      </c>
    </row>
    <row r="96" customFormat="false" ht="15" hidden="false" customHeight="true" outlineLevel="0" collapsed="false">
      <c r="A96" s="4" t="str">
        <f aca="false">Rohdaten!A96</f>
        <v>Veggie-Bratling, Erbsenbasis</v>
      </c>
      <c r="B96" s="8" t="n">
        <f aca="false">Rohdaten!C96</f>
        <v>1.8</v>
      </c>
      <c r="C96" s="8" t="n">
        <f aca="false">IFERROR(Rohdaten!C96*100/Rohdaten!G96,"–")</f>
        <v>1.05882352941176</v>
      </c>
      <c r="D96" s="8" t="n">
        <f aca="false">IFERROR(Rohdaten!C96*100/(Rohdaten!H96*9),"–")</f>
        <v>2.5</v>
      </c>
      <c r="E96" s="8" t="n">
        <f aca="false">IFERROR(Rohdaten!C96*100/(Rohdaten!I96*4),"–")</f>
        <v>2.8125</v>
      </c>
      <c r="F96" s="8" t="n">
        <f aca="false">IFERROR(Rohdaten!C96*100/(Rohdaten!J96*4),"–")</f>
        <v>4.5</v>
      </c>
      <c r="G96" s="9" t="n">
        <f aca="false">IFERROR(Rohdaten!C96*100/Rohdaten!K96,"–")</f>
        <v>36</v>
      </c>
      <c r="H96" s="8" t="n">
        <f aca="false">IFERROR(Rohdaten!C96*100/Rohdaten!L96,"–")</f>
        <v>60</v>
      </c>
      <c r="I96" s="9" t="str">
        <f aca="false">IFERROR(Rohdaten!C96*100/Rohdaten!M96,"–")</f>
        <v>–</v>
      </c>
      <c r="J96" s="8" t="n">
        <f aca="false">IFERROR(Rohdaten!C96*100/Rohdaten!N96,"–")</f>
        <v>360</v>
      </c>
      <c r="K96" s="9" t="n">
        <f aca="false">IFERROR(Rohdaten!C96*100/Rohdaten!O96,"–")</f>
        <v>36</v>
      </c>
      <c r="L96" s="8" t="n">
        <f aca="false">IFERROR(Rohdaten!C96*100/Rohdaten!P96,"–")</f>
        <v>1800</v>
      </c>
      <c r="M96" s="8" t="n">
        <f aca="false">IFERROR(Rohdaten!C96*100/Rohdaten!Q96,"–")</f>
        <v>1800</v>
      </c>
      <c r="N96" s="8" t="n">
        <f aca="false">IFERROR(Rohdaten!C96*100/Rohdaten!R96,"–")</f>
        <v>120</v>
      </c>
      <c r="O96" s="8" t="n">
        <f aca="false">IFERROR(Rohdaten!C96*100/Rohdaten!S96,"–")</f>
        <v>1200</v>
      </c>
      <c r="P96" s="9" t="n">
        <f aca="false">IFERROR(Rohdaten!C96*100/Rohdaten!T96,"–")</f>
        <v>6</v>
      </c>
      <c r="Q96" s="9" t="str">
        <f aca="false">IFERROR(Rohdaten!C96*100/Rohdaten!U96,"–")</f>
        <v>–</v>
      </c>
      <c r="R96" s="8" t="n">
        <f aca="false">IFERROR(Rohdaten!C96*100/Rohdaten!V96,"–")</f>
        <v>4.5</v>
      </c>
      <c r="S96" s="8" t="n">
        <f aca="false">IFERROR(Rohdaten!C96*100/Rohdaten!W96,"–")</f>
        <v>90</v>
      </c>
      <c r="T96" s="8" t="n">
        <f aca="false">IFERROR(Rohdaten!C96*100/Rohdaten!X96,"–")</f>
        <v>6</v>
      </c>
      <c r="U96" s="8" t="n">
        <f aca="false">IFERROR(Rohdaten!C96*100/Rohdaten!Y96,"–")</f>
        <v>150</v>
      </c>
      <c r="V96" s="8" t="n">
        <f aca="false">IFERROR(Rohdaten!C96*100/Rohdaten!Z96,"–")</f>
        <v>0.642857142857143</v>
      </c>
    </row>
    <row r="97" customFormat="false" ht="15" hidden="false" customHeight="true" outlineLevel="0" collapsed="false">
      <c r="A97" s="4" t="str">
        <f aca="false">Rohdaten!A97</f>
        <v>Gemüsenuggets/-schnitzel</v>
      </c>
      <c r="B97" s="8" t="n">
        <f aca="false">Rohdaten!C97</f>
        <v>1.3</v>
      </c>
      <c r="C97" s="8" t="n">
        <f aca="false">IFERROR(Rohdaten!C97*100/Rohdaten!G97,"–")</f>
        <v>0.590909090909091</v>
      </c>
      <c r="D97" s="8" t="n">
        <f aca="false">IFERROR(Rohdaten!C97*100/(Rohdaten!H97*9),"–")</f>
        <v>1.2037037037037</v>
      </c>
      <c r="E97" s="8" t="n">
        <f aca="false">IFERROR(Rohdaten!C97*100/(Rohdaten!I97*4),"–")</f>
        <v>4.64285714285714</v>
      </c>
      <c r="F97" s="8" t="n">
        <f aca="false">IFERROR(Rohdaten!C97*100/(Rohdaten!J97*4),"–")</f>
        <v>1.625</v>
      </c>
      <c r="G97" s="9" t="n">
        <f aca="false">IFERROR(Rohdaten!C97*100/Rohdaten!K97,"–")</f>
        <v>2.6</v>
      </c>
      <c r="H97" s="8" t="n">
        <f aca="false">IFERROR(Rohdaten!C97*100/Rohdaten!L97,"–")</f>
        <v>26</v>
      </c>
      <c r="I97" s="9" t="str">
        <f aca="false">IFERROR(Rohdaten!C97*100/Rohdaten!M97,"–")</f>
        <v>–</v>
      </c>
      <c r="J97" s="8" t="n">
        <f aca="false">IFERROR(Rohdaten!C97*100/Rohdaten!N97,"–")</f>
        <v>260</v>
      </c>
      <c r="K97" s="9" t="n">
        <f aca="false">IFERROR(Rohdaten!C97*100/Rohdaten!O97,"–")</f>
        <v>26</v>
      </c>
      <c r="L97" s="8" t="n">
        <f aca="false">IFERROR(Rohdaten!C97*100/Rohdaten!P97,"–")</f>
        <v>1300</v>
      </c>
      <c r="M97" s="8" t="n">
        <f aca="false">IFERROR(Rohdaten!C97*100/Rohdaten!Q97,"–")</f>
        <v>1625</v>
      </c>
      <c r="N97" s="8" t="n">
        <f aca="false">IFERROR(Rohdaten!C97*100/Rohdaten!R97,"–")</f>
        <v>108.333333333333</v>
      </c>
      <c r="O97" s="8" t="n">
        <f aca="false">IFERROR(Rohdaten!C97*100/Rohdaten!S97,"–")</f>
        <v>1300</v>
      </c>
      <c r="P97" s="9" t="n">
        <f aca="false">IFERROR(Rohdaten!C97*100/Rohdaten!T97,"–")</f>
        <v>5.2</v>
      </c>
      <c r="Q97" s="9" t="str">
        <f aca="false">IFERROR(Rohdaten!C97*100/Rohdaten!U97,"–")</f>
        <v>–</v>
      </c>
      <c r="R97" s="8" t="n">
        <f aca="false">IFERROR(Rohdaten!C97*100/Rohdaten!V97,"–")</f>
        <v>3.25</v>
      </c>
      <c r="S97" s="8" t="n">
        <f aca="false">IFERROR(Rohdaten!C97*100/Rohdaten!W97,"–")</f>
        <v>108.333333333333</v>
      </c>
      <c r="T97" s="8" t="n">
        <f aca="false">IFERROR(Rohdaten!C97*100/Rohdaten!X97,"–")</f>
        <v>5.2</v>
      </c>
      <c r="U97" s="8" t="n">
        <f aca="false">IFERROR(Rohdaten!C97*100/Rohdaten!Y97,"–")</f>
        <v>185.714285714286</v>
      </c>
      <c r="V97" s="8" t="n">
        <f aca="false">IFERROR(Rohdaten!C97*100/Rohdaten!Z97,"–")</f>
        <v>0.52</v>
      </c>
    </row>
    <row r="98" customFormat="false" ht="15" hidden="false" customHeight="true" outlineLevel="0" collapsed="false">
      <c r="A98" s="4" t="str">
        <f aca="false">Rohdaten!A98</f>
        <v>Vegane Bratwurst</v>
      </c>
      <c r="B98" s="8" t="n">
        <f aca="false">Rohdaten!C98</f>
        <v>1.7</v>
      </c>
      <c r="C98" s="8" t="n">
        <f aca="false">IFERROR(Rohdaten!C98*100/Rohdaten!G98,"–")</f>
        <v>0.85</v>
      </c>
      <c r="D98" s="8" t="n">
        <f aca="false">IFERROR(Rohdaten!C98*100/(Rohdaten!H98*9),"–")</f>
        <v>1.34920634920635</v>
      </c>
      <c r="E98" s="8" t="n">
        <f aca="false">IFERROR(Rohdaten!C98*100/(Rohdaten!I98*4),"–")</f>
        <v>3.03571428571429</v>
      </c>
      <c r="F98" s="8" t="n">
        <f aca="false">IFERROR(Rohdaten!C98*100/(Rohdaten!J98*4),"–")</f>
        <v>8.5</v>
      </c>
      <c r="G98" s="9" t="str">
        <f aca="false">IFERROR(Rohdaten!C98*100/Rohdaten!K98,"–")</f>
        <v>–</v>
      </c>
      <c r="H98" s="8" t="str">
        <f aca="false">IFERROR(Rohdaten!C98*100/Rohdaten!L98,"–")</f>
        <v>–</v>
      </c>
      <c r="I98" s="9" t="str">
        <f aca="false">IFERROR(Rohdaten!C98*100/Rohdaten!M98,"–")</f>
        <v>–</v>
      </c>
      <c r="J98" s="8" t="n">
        <f aca="false">IFERROR(Rohdaten!C98*100/Rohdaten!N98,"–")</f>
        <v>340</v>
      </c>
      <c r="K98" s="9" t="n">
        <f aca="false">IFERROR(Rohdaten!C98*100/Rohdaten!O98,"–")</f>
        <v>56.6666666666667</v>
      </c>
      <c r="L98" s="8" t="n">
        <f aca="false">IFERROR(Rohdaten!C98*100/Rohdaten!P98,"–")</f>
        <v>1700</v>
      </c>
      <c r="M98" s="8" t="n">
        <f aca="false">IFERROR(Rohdaten!C98*100/Rohdaten!Q98,"–")</f>
        <v>1700</v>
      </c>
      <c r="N98" s="8" t="n">
        <f aca="false">IFERROR(Rohdaten!C98*100/Rohdaten!R98,"–")</f>
        <v>113.333333333333</v>
      </c>
      <c r="O98" s="8" t="n">
        <f aca="false">IFERROR(Rohdaten!C98*100/Rohdaten!S98,"–")</f>
        <v>1133.33333333333</v>
      </c>
      <c r="P98" s="9" t="n">
        <f aca="false">IFERROR(Rohdaten!C98*100/Rohdaten!T98,"–")</f>
        <v>5.66666666666667</v>
      </c>
      <c r="Q98" s="9" t="str">
        <f aca="false">IFERROR(Rohdaten!C98*100/Rohdaten!U98,"–")</f>
        <v>–</v>
      </c>
      <c r="R98" s="8" t="n">
        <f aca="false">IFERROR(Rohdaten!C98*100/Rohdaten!V98,"–")</f>
        <v>4.25</v>
      </c>
      <c r="S98" s="8" t="n">
        <f aca="false">IFERROR(Rohdaten!C98*100/Rohdaten!W98,"–")</f>
        <v>85</v>
      </c>
      <c r="T98" s="8" t="n">
        <f aca="false">IFERROR(Rohdaten!C98*100/Rohdaten!X98,"–")</f>
        <v>6.8</v>
      </c>
      <c r="U98" s="8" t="n">
        <f aca="false">IFERROR(Rohdaten!C98*100/Rohdaten!Y98,"–")</f>
        <v>170</v>
      </c>
      <c r="V98" s="8" t="n">
        <f aca="false">IFERROR(Rohdaten!C98*100/Rohdaten!Z98,"–")</f>
        <v>0.68</v>
      </c>
    </row>
    <row r="99" customFormat="false" ht="15" hidden="false" customHeight="true" outlineLevel="0" collapsed="false">
      <c r="A99" s="4" t="str">
        <f aca="false">Rohdaten!A99</f>
        <v>Veganer Käse (Kokosfettbasis)</v>
      </c>
      <c r="B99" s="8" t="n">
        <f aca="false">Rohdaten!C99</f>
        <v>2</v>
      </c>
      <c r="C99" s="8" t="n">
        <f aca="false">IFERROR(Rohdaten!C99*100/Rohdaten!G99,"–")</f>
        <v>0.666666666666667</v>
      </c>
      <c r="D99" s="8" t="n">
        <f aca="false">IFERROR(Rohdaten!C99*100/(Rohdaten!H99*9),"–")</f>
        <v>0.888888888888889</v>
      </c>
      <c r="E99" s="8" t="n">
        <f aca="false">IFERROR(Rohdaten!C99*100/(Rohdaten!I99*4),"–")</f>
        <v>16.6666666666667</v>
      </c>
      <c r="F99" s="8" t="n">
        <f aca="false">IFERROR(Rohdaten!C99*100/(Rohdaten!J99*4),"–")</f>
        <v>5</v>
      </c>
      <c r="G99" s="9" t="str">
        <f aca="false">IFERROR(Rohdaten!C99*100/Rohdaten!K99,"–")</f>
        <v>–</v>
      </c>
      <c r="H99" s="8" t="str">
        <f aca="false">IFERROR(Rohdaten!C99*100/Rohdaten!L99,"–")</f>
        <v>–</v>
      </c>
      <c r="I99" s="9" t="str">
        <f aca="false">IFERROR(Rohdaten!C99*100/Rohdaten!M99,"–")</f>
        <v>–</v>
      </c>
      <c r="J99" s="8" t="n">
        <f aca="false">IFERROR(Rohdaten!C99*100/Rohdaten!N99,"–")</f>
        <v>1000</v>
      </c>
      <c r="K99" s="9" t="str">
        <f aca="false">IFERROR(Rohdaten!C99*100/Rohdaten!O99,"–")</f>
        <v>–</v>
      </c>
      <c r="L99" s="8" t="n">
        <f aca="false">IFERROR(Rohdaten!C99*100/Rohdaten!P99,"–")</f>
        <v>10000</v>
      </c>
      <c r="M99" s="8" t="n">
        <f aca="false">IFERROR(Rohdaten!C99*100/Rohdaten!Q99,"–")</f>
        <v>4000</v>
      </c>
      <c r="N99" s="8" t="n">
        <f aca="false">IFERROR(Rohdaten!C99*100/Rohdaten!R99,"–")</f>
        <v>1000</v>
      </c>
      <c r="O99" s="8" t="n">
        <f aca="false">IFERROR(Rohdaten!C99*100/Rohdaten!S99,"–")</f>
        <v>10000</v>
      </c>
      <c r="P99" s="9" t="n">
        <f aca="false">IFERROR(Rohdaten!C99*100/Rohdaten!T99,"–")</f>
        <v>40</v>
      </c>
      <c r="Q99" s="9" t="str">
        <f aca="false">IFERROR(Rohdaten!C99*100/Rohdaten!U99,"–")</f>
        <v>–</v>
      </c>
      <c r="R99" s="8" t="n">
        <f aca="false">IFERROR(Rohdaten!C99*100/Rohdaten!V99,"–")</f>
        <v>2</v>
      </c>
      <c r="S99" s="8" t="n">
        <f aca="false">IFERROR(Rohdaten!C99*100/Rohdaten!W99,"–")</f>
        <v>400</v>
      </c>
      <c r="T99" s="8" t="n">
        <f aca="false">IFERROR(Rohdaten!C99*100/Rohdaten!X99,"–")</f>
        <v>20</v>
      </c>
      <c r="U99" s="8" t="n">
        <f aca="false">IFERROR(Rohdaten!C99*100/Rohdaten!Y99,"–")</f>
        <v>666.666666666667</v>
      </c>
      <c r="V99" s="8" t="n">
        <f aca="false">IFERROR(Rohdaten!C99*100/Rohdaten!Z99,"–")</f>
        <v>4</v>
      </c>
    </row>
    <row r="100" customFormat="false" ht="15" hidden="false" customHeight="true" outlineLevel="0" collapsed="false">
      <c r="A100" s="4" t="str">
        <f aca="false">Rohdaten!A100</f>
        <v>Joghurt-Ersatz, Soja</v>
      </c>
      <c r="B100" s="8" t="n">
        <f aca="false">Rohdaten!C100</f>
        <v>0.6</v>
      </c>
      <c r="C100" s="8" t="n">
        <f aca="false">IFERROR(Rohdaten!C100*100/Rohdaten!G100,"–")</f>
        <v>1.09090909090909</v>
      </c>
      <c r="D100" s="8" t="n">
        <f aca="false">IFERROR(Rohdaten!C100*100/(Rohdaten!H100*9),"–")</f>
        <v>2.66666666666667</v>
      </c>
      <c r="E100" s="8" t="n">
        <f aca="false">IFERROR(Rohdaten!C100*100/(Rohdaten!I100*4),"–")</f>
        <v>4.28571428571429</v>
      </c>
      <c r="F100" s="8" t="n">
        <f aca="false">IFERROR(Rohdaten!C100*100/(Rohdaten!J100*4),"–")</f>
        <v>5</v>
      </c>
      <c r="G100" s="9" t="str">
        <f aca="false">IFERROR(Rohdaten!C100*100/Rohdaten!K100,"–")</f>
        <v>–</v>
      </c>
      <c r="H100" s="8" t="str">
        <f aca="false">IFERROR(Rohdaten!C100*100/Rohdaten!L100,"–")</f>
        <v>–</v>
      </c>
      <c r="I100" s="9" t="str">
        <f aca="false">IFERROR(Rohdaten!C100*100/Rohdaten!M100,"–")</f>
        <v>–</v>
      </c>
      <c r="J100" s="8" t="n">
        <f aca="false">IFERROR(Rohdaten!C100*100/Rohdaten!N100,"–")</f>
        <v>200</v>
      </c>
      <c r="K100" s="9" t="n">
        <f aca="false">IFERROR(Rohdaten!C100*100/Rohdaten!O100,"–")</f>
        <v>20</v>
      </c>
      <c r="L100" s="8" t="n">
        <f aca="false">IFERROR(Rohdaten!C100*100/Rohdaten!P100,"–")</f>
        <v>1200</v>
      </c>
      <c r="M100" s="8" t="n">
        <f aca="false">IFERROR(Rohdaten!C100*100/Rohdaten!Q100,"–")</f>
        <v>2000</v>
      </c>
      <c r="N100" s="8" t="n">
        <f aca="false">IFERROR(Rohdaten!C100*100/Rohdaten!R100,"–")</f>
        <v>200</v>
      </c>
      <c r="O100" s="8" t="n">
        <f aca="false">IFERROR(Rohdaten!C100*100/Rohdaten!S100,"–")</f>
        <v>1200</v>
      </c>
      <c r="P100" s="9" t="n">
        <f aca="false">IFERROR(Rohdaten!C100*100/Rohdaten!T100,"–")</f>
        <v>6</v>
      </c>
      <c r="Q100" s="9" t="str">
        <f aca="false">IFERROR(Rohdaten!C100*100/Rohdaten!U100,"–")</f>
        <v>–</v>
      </c>
      <c r="R100" s="8" t="n">
        <f aca="false">IFERROR(Rohdaten!C100*100/Rohdaten!V100,"–")</f>
        <v>2</v>
      </c>
      <c r="S100" s="8" t="n">
        <f aca="false">IFERROR(Rohdaten!C100*100/Rohdaten!W100,"–")</f>
        <v>120</v>
      </c>
      <c r="T100" s="8" t="n">
        <f aca="false">IFERROR(Rohdaten!C100*100/Rohdaten!X100,"–")</f>
        <v>4</v>
      </c>
      <c r="U100" s="8" t="n">
        <f aca="false">IFERROR(Rohdaten!C100*100/Rohdaten!Y100,"–")</f>
        <v>200</v>
      </c>
      <c r="V100" s="8" t="n">
        <f aca="false">IFERROR(Rohdaten!C100*100/Rohdaten!Z100,"–")</f>
        <v>0.5</v>
      </c>
    </row>
    <row r="101" customFormat="false" ht="15" hidden="false" customHeight="true" outlineLevel="0" collapsed="false">
      <c r="A101" s="4" t="str">
        <f aca="false">Rohdaten!A101</f>
        <v>Quark-Ersatz, Soja</v>
      </c>
      <c r="B101" s="8" t="n">
        <f aca="false">Rohdaten!C101</f>
        <v>0.7</v>
      </c>
      <c r="C101" s="8" t="n">
        <f aca="false">IFERROR(Rohdaten!C101*100/Rohdaten!G101,"–")</f>
        <v>0.777777777777778</v>
      </c>
      <c r="D101" s="8" t="n">
        <f aca="false">IFERROR(Rohdaten!C101*100/(Rohdaten!H101*9),"–")</f>
        <v>1.7283950617284</v>
      </c>
      <c r="E101" s="8" t="n">
        <f aca="false">IFERROR(Rohdaten!C101*100/(Rohdaten!I101*4),"–")</f>
        <v>2.1875</v>
      </c>
      <c r="F101" s="8" t="n">
        <f aca="false">IFERROR(Rohdaten!C101*100/(Rohdaten!J101*4),"–")</f>
        <v>5.83333333333333</v>
      </c>
      <c r="G101" s="9" t="str">
        <f aca="false">IFERROR(Rohdaten!C101*100/Rohdaten!K101,"–")</f>
        <v>–</v>
      </c>
      <c r="H101" s="8" t="str">
        <f aca="false">IFERROR(Rohdaten!C101*100/Rohdaten!L101,"–")</f>
        <v>–</v>
      </c>
      <c r="I101" s="9" t="str">
        <f aca="false">IFERROR(Rohdaten!C101*100/Rohdaten!M101,"–")</f>
        <v>–</v>
      </c>
      <c r="J101" s="8" t="n">
        <f aca="false">IFERROR(Rohdaten!C101*100/Rohdaten!N101,"–")</f>
        <v>233.333333333333</v>
      </c>
      <c r="K101" s="9" t="n">
        <f aca="false">IFERROR(Rohdaten!C101*100/Rohdaten!O101,"–")</f>
        <v>23.3333333333333</v>
      </c>
      <c r="L101" s="8" t="n">
        <f aca="false">IFERROR(Rohdaten!C101*100/Rohdaten!P101,"–")</f>
        <v>1400</v>
      </c>
      <c r="M101" s="8" t="n">
        <f aca="false">IFERROR(Rohdaten!C101*100/Rohdaten!Q101,"–")</f>
        <v>2333.33333333333</v>
      </c>
      <c r="N101" s="8" t="n">
        <f aca="false">IFERROR(Rohdaten!C101*100/Rohdaten!R101,"–")</f>
        <v>233.333333333333</v>
      </c>
      <c r="O101" s="8" t="n">
        <f aca="false">IFERROR(Rohdaten!C101*100/Rohdaten!S101,"–")</f>
        <v>1400</v>
      </c>
      <c r="P101" s="9" t="n">
        <f aca="false">IFERROR(Rohdaten!C101*100/Rohdaten!T101,"–")</f>
        <v>7</v>
      </c>
      <c r="Q101" s="9" t="str">
        <f aca="false">IFERROR(Rohdaten!C101*100/Rohdaten!U101,"–")</f>
        <v>–</v>
      </c>
      <c r="R101" s="8" t="n">
        <f aca="false">IFERROR(Rohdaten!C101*100/Rohdaten!V101,"–")</f>
        <v>0.875</v>
      </c>
      <c r="S101" s="8" t="n">
        <f aca="false">IFERROR(Rohdaten!C101*100/Rohdaten!W101,"–")</f>
        <v>70</v>
      </c>
      <c r="T101" s="8" t="n">
        <f aca="false">IFERROR(Rohdaten!C101*100/Rohdaten!X101,"–")</f>
        <v>2.8</v>
      </c>
      <c r="U101" s="8" t="n">
        <f aca="false">IFERROR(Rohdaten!C101*100/Rohdaten!Y101,"–")</f>
        <v>140</v>
      </c>
      <c r="V101" s="8" t="n">
        <f aca="false">IFERROR(Rohdaten!C101*100/Rohdaten!Z101,"–")</f>
        <v>0.466666666666667</v>
      </c>
    </row>
    <row r="102" customFormat="false" ht="15" hidden="false" customHeight="true" outlineLevel="0" collapsed="false">
      <c r="A102" s="4" t="str">
        <f aca="false">Rohdaten!A102</f>
        <v>Sahne-Ersatz, Hafer</v>
      </c>
      <c r="B102" s="8" t="n">
        <f aca="false">Rohdaten!C102</f>
        <v>0.6</v>
      </c>
      <c r="C102" s="8" t="n">
        <f aca="false">IFERROR(Rohdaten!C102*100/Rohdaten!G102,"–")</f>
        <v>0.3</v>
      </c>
      <c r="D102" s="8" t="n">
        <f aca="false">IFERROR(Rohdaten!C102*100/(Rohdaten!H102*9),"–")</f>
        <v>0.37037037037037</v>
      </c>
      <c r="E102" s="8" t="n">
        <f aca="false">IFERROR(Rohdaten!C102*100/(Rohdaten!I102*4),"–")</f>
        <v>15</v>
      </c>
      <c r="F102" s="8" t="n">
        <f aca="false">IFERROR(Rohdaten!C102*100/(Rohdaten!J102*4),"–")</f>
        <v>2.14285714285714</v>
      </c>
      <c r="G102" s="9" t="str">
        <f aca="false">IFERROR(Rohdaten!C102*100/Rohdaten!K102,"–")</f>
        <v>–</v>
      </c>
      <c r="H102" s="8" t="str">
        <f aca="false">IFERROR(Rohdaten!C102*100/Rohdaten!L102,"–")</f>
        <v>–</v>
      </c>
      <c r="I102" s="9" t="str">
        <f aca="false">IFERROR(Rohdaten!C102*100/Rohdaten!M102,"–")</f>
        <v>–</v>
      </c>
      <c r="J102" s="8" t="n">
        <f aca="false">IFERROR(Rohdaten!C102*100/Rohdaten!N102,"–")</f>
        <v>120</v>
      </c>
      <c r="K102" s="9" t="n">
        <f aca="false">IFERROR(Rohdaten!C102*100/Rohdaten!O102,"–")</f>
        <v>20</v>
      </c>
      <c r="L102" s="8" t="n">
        <f aca="false">IFERROR(Rohdaten!C102*100/Rohdaten!P102,"–")</f>
        <v>1200</v>
      </c>
      <c r="M102" s="8" t="n">
        <f aca="false">IFERROR(Rohdaten!C102*100/Rohdaten!Q102,"–")</f>
        <v>2000</v>
      </c>
      <c r="N102" s="8" t="n">
        <f aca="false">IFERROR(Rohdaten!C102*100/Rohdaten!R102,"–")</f>
        <v>300</v>
      </c>
      <c r="O102" s="8" t="n">
        <f aca="false">IFERROR(Rohdaten!C102*100/Rohdaten!S102,"–")</f>
        <v>1200</v>
      </c>
      <c r="P102" s="9" t="n">
        <f aca="false">IFERROR(Rohdaten!C102*100/Rohdaten!T102,"–")</f>
        <v>12</v>
      </c>
      <c r="Q102" s="9" t="str">
        <f aca="false">IFERROR(Rohdaten!C102*100/Rohdaten!U102,"–")</f>
        <v>–</v>
      </c>
      <c r="R102" s="8" t="n">
        <f aca="false">IFERROR(Rohdaten!C102*100/Rohdaten!V102,"–")</f>
        <v>3</v>
      </c>
      <c r="S102" s="8" t="n">
        <f aca="false">IFERROR(Rohdaten!C102*100/Rohdaten!W102,"–")</f>
        <v>200</v>
      </c>
      <c r="T102" s="8" t="n">
        <f aca="false">IFERROR(Rohdaten!C102*100/Rohdaten!X102,"–")</f>
        <v>6</v>
      </c>
      <c r="U102" s="8" t="n">
        <f aca="false">IFERROR(Rohdaten!C102*100/Rohdaten!Y102,"–")</f>
        <v>600</v>
      </c>
      <c r="V102" s="8" t="n">
        <f aca="false">IFERROR(Rohdaten!C102*100/Rohdaten!Z102,"–")</f>
        <v>0.75</v>
      </c>
    </row>
    <row r="103" customFormat="false" ht="15" hidden="false" customHeight="true" outlineLevel="0" collapsed="false">
      <c r="A103" s="4" t="str">
        <f aca="false">Rohdaten!A103</f>
        <v>Milch-Ersatz, Hafer</v>
      </c>
      <c r="B103" s="8" t="n">
        <f aca="false">Rohdaten!C103</f>
        <v>0.3</v>
      </c>
      <c r="C103" s="8" t="n">
        <f aca="false">IFERROR(Rohdaten!C103*100/Rohdaten!G103,"–")</f>
        <v>0.625</v>
      </c>
      <c r="D103" s="8" t="n">
        <f aca="false">IFERROR(Rohdaten!C103*100/(Rohdaten!H103*9),"–")</f>
        <v>2.22222222222222</v>
      </c>
      <c r="E103" s="8" t="n">
        <f aca="false">IFERROR(Rohdaten!C103*100/(Rohdaten!I103*4),"–")</f>
        <v>15</v>
      </c>
      <c r="F103" s="8" t="n">
        <f aca="false">IFERROR(Rohdaten!C103*100/(Rohdaten!J103*4),"–")</f>
        <v>0.9375</v>
      </c>
      <c r="G103" s="9" t="str">
        <f aca="false">IFERROR(Rohdaten!C103*100/Rohdaten!K103,"–")</f>
        <v>–</v>
      </c>
      <c r="H103" s="8" t="str">
        <f aca="false">IFERROR(Rohdaten!C103*100/Rohdaten!L103,"–")</f>
        <v>–</v>
      </c>
      <c r="I103" s="9" t="str">
        <f aca="false">IFERROR(Rohdaten!C103*100/Rohdaten!M103,"–")</f>
        <v>–</v>
      </c>
      <c r="J103" s="8" t="n">
        <f aca="false">IFERROR(Rohdaten!C103*100/Rohdaten!N103,"–")</f>
        <v>150</v>
      </c>
      <c r="K103" s="9" t="n">
        <f aca="false">IFERROR(Rohdaten!C103*100/Rohdaten!O103,"–")</f>
        <v>30</v>
      </c>
      <c r="L103" s="8" t="n">
        <f aca="false">IFERROR(Rohdaten!C103*100/Rohdaten!P103,"–")</f>
        <v>1500</v>
      </c>
      <c r="M103" s="8" t="n">
        <f aca="false">IFERROR(Rohdaten!C103*100/Rohdaten!Q103,"–")</f>
        <v>1500</v>
      </c>
      <c r="N103" s="8" t="n">
        <f aca="false">IFERROR(Rohdaten!C103*100/Rohdaten!R103,"–")</f>
        <v>150</v>
      </c>
      <c r="O103" s="8" t="n">
        <f aca="false">IFERROR(Rohdaten!C103*100/Rohdaten!S103,"–")</f>
        <v>1000</v>
      </c>
      <c r="P103" s="9" t="n">
        <f aca="false">IFERROR(Rohdaten!C103*100/Rohdaten!T103,"–")</f>
        <v>10</v>
      </c>
      <c r="Q103" s="9" t="str">
        <f aca="false">IFERROR(Rohdaten!C103*100/Rohdaten!U103,"–")</f>
        <v>–</v>
      </c>
      <c r="R103" s="8" t="n">
        <f aca="false">IFERROR(Rohdaten!C103*100/Rohdaten!V103,"–")</f>
        <v>2</v>
      </c>
      <c r="S103" s="8" t="n">
        <f aca="false">IFERROR(Rohdaten!C103*100/Rohdaten!W103,"–")</f>
        <v>100</v>
      </c>
      <c r="T103" s="8" t="n">
        <f aca="false">IFERROR(Rohdaten!C103*100/Rohdaten!X103,"–")</f>
        <v>3.75</v>
      </c>
      <c r="U103" s="8" t="n">
        <f aca="false">IFERROR(Rohdaten!C103*100/Rohdaten!Y103,"–")</f>
        <v>300</v>
      </c>
      <c r="V103" s="8" t="n">
        <f aca="false">IFERROR(Rohdaten!C103*100/Rohdaten!Z103,"–")</f>
        <v>0.5</v>
      </c>
    </row>
    <row r="104" customFormat="false" ht="15" hidden="false" customHeight="true" outlineLevel="0" collapsed="false">
      <c r="A104" s="4" t="str">
        <f aca="false">Rohdaten!A104</f>
        <v>Milch-Ersatz, Mandel</v>
      </c>
      <c r="B104" s="8" t="n">
        <f aca="false">Rohdaten!C104</f>
        <v>0.3</v>
      </c>
      <c r="C104" s="8" t="n">
        <f aca="false">IFERROR(Rohdaten!C104*100/Rohdaten!G104,"–")</f>
        <v>1.2</v>
      </c>
      <c r="D104" s="8" t="n">
        <f aca="false">IFERROR(Rohdaten!C104*100/(Rohdaten!H104*9),"–")</f>
        <v>2.22222222222222</v>
      </c>
      <c r="E104" s="8" t="n">
        <f aca="false">IFERROR(Rohdaten!C104*100/(Rohdaten!I104*4),"–")</f>
        <v>15</v>
      </c>
      <c r="F104" s="8" t="n">
        <f aca="false">IFERROR(Rohdaten!C104*100/(Rohdaten!J104*4),"–")</f>
        <v>3</v>
      </c>
      <c r="G104" s="9" t="str">
        <f aca="false">IFERROR(Rohdaten!C104*100/Rohdaten!K104,"–")</f>
        <v>–</v>
      </c>
      <c r="H104" s="8" t="str">
        <f aca="false">IFERROR(Rohdaten!C104*100/Rohdaten!L104,"–")</f>
        <v>–</v>
      </c>
      <c r="I104" s="9" t="str">
        <f aca="false">IFERROR(Rohdaten!C104*100/Rohdaten!M104,"–")</f>
        <v>–</v>
      </c>
      <c r="J104" s="8" t="n">
        <f aca="false">IFERROR(Rohdaten!C104*100/Rohdaten!N104,"–")</f>
        <v>15</v>
      </c>
      <c r="K104" s="9" t="n">
        <f aca="false">IFERROR(Rohdaten!C104*100/Rohdaten!O104,"–")</f>
        <v>30</v>
      </c>
      <c r="L104" s="8" t="n">
        <f aca="false">IFERROR(Rohdaten!C104*100/Rohdaten!P104,"–")</f>
        <v>3000</v>
      </c>
      <c r="M104" s="8" t="n">
        <f aca="false">IFERROR(Rohdaten!C104*100/Rohdaten!Q104,"–")</f>
        <v>600</v>
      </c>
      <c r="N104" s="8" t="n">
        <f aca="false">IFERROR(Rohdaten!C104*100/Rohdaten!R104,"–")</f>
        <v>150</v>
      </c>
      <c r="O104" s="8" t="n">
        <f aca="false">IFERROR(Rohdaten!C104*100/Rohdaten!S104,"–")</f>
        <v>3000</v>
      </c>
      <c r="P104" s="9" t="n">
        <f aca="false">IFERROR(Rohdaten!C104*100/Rohdaten!T104,"–")</f>
        <v>15</v>
      </c>
      <c r="Q104" s="9" t="str">
        <f aca="false">IFERROR(Rohdaten!C104*100/Rohdaten!U104,"–")</f>
        <v>–</v>
      </c>
      <c r="R104" s="8" t="n">
        <f aca="false">IFERROR(Rohdaten!C104*100/Rohdaten!V104,"–")</f>
        <v>2</v>
      </c>
      <c r="S104" s="8" t="n">
        <f aca="false">IFERROR(Rohdaten!C104*100/Rohdaten!W104,"–")</f>
        <v>150</v>
      </c>
      <c r="T104" s="8" t="n">
        <f aca="false">IFERROR(Rohdaten!C104*100/Rohdaten!X104,"–")</f>
        <v>3.75</v>
      </c>
      <c r="U104" s="8" t="n">
        <f aca="false">IFERROR(Rohdaten!C104*100/Rohdaten!Y104,"–")</f>
        <v>300</v>
      </c>
      <c r="V104" s="8" t="n">
        <f aca="false">IFERROR(Rohdaten!C104*100/Rohdaten!Z104,"–")</f>
        <v>0.6</v>
      </c>
    </row>
    <row r="105" customFormat="false" ht="15" hidden="false" customHeight="true" outlineLevel="0" collapsed="false">
      <c r="A105" s="4" t="str">
        <f aca="false">Rohdaten!A105</f>
        <v>Milch-Ersatz, Soja</v>
      </c>
      <c r="B105" s="8" t="n">
        <f aca="false">Rohdaten!C105</f>
        <v>0.4</v>
      </c>
      <c r="C105" s="8" t="n">
        <f aca="false">IFERROR(Rohdaten!C105*100/Rohdaten!G105,"–")</f>
        <v>1</v>
      </c>
      <c r="D105" s="8" t="n">
        <f aca="false">IFERROR(Rohdaten!C105*100/(Rohdaten!H105*9),"–")</f>
        <v>2.22222222222222</v>
      </c>
      <c r="E105" s="8" t="n">
        <f aca="false">IFERROR(Rohdaten!C105*100/(Rohdaten!I105*4),"–")</f>
        <v>3.03030303030303</v>
      </c>
      <c r="F105" s="8" t="n">
        <f aca="false">IFERROR(Rohdaten!C105*100/(Rohdaten!J105*4),"–")</f>
        <v>10</v>
      </c>
      <c r="G105" s="9" t="str">
        <f aca="false">IFERROR(Rohdaten!C105*100/Rohdaten!K105,"–")</f>
        <v>–</v>
      </c>
      <c r="H105" s="8" t="str">
        <f aca="false">IFERROR(Rohdaten!C105*100/Rohdaten!L105,"–")</f>
        <v>–</v>
      </c>
      <c r="I105" s="9" t="str">
        <f aca="false">IFERROR(Rohdaten!C105*100/Rohdaten!M105,"–")</f>
        <v>–</v>
      </c>
      <c r="J105" s="8" t="n">
        <f aca="false">IFERROR(Rohdaten!C105*100/Rohdaten!N105,"–")</f>
        <v>80</v>
      </c>
      <c r="K105" s="9" t="n">
        <f aca="false">IFERROR(Rohdaten!C105*100/Rohdaten!O105,"–")</f>
        <v>13.3333333333333</v>
      </c>
      <c r="L105" s="8" t="n">
        <f aca="false">IFERROR(Rohdaten!C105*100/Rohdaten!P105,"–")</f>
        <v>1333.33333333333</v>
      </c>
      <c r="M105" s="8" t="n">
        <f aca="false">IFERROR(Rohdaten!C105*100/Rohdaten!Q105,"–")</f>
        <v>2000</v>
      </c>
      <c r="N105" s="8" t="n">
        <f aca="false">IFERROR(Rohdaten!C105*100/Rohdaten!R105,"–")</f>
        <v>200</v>
      </c>
      <c r="O105" s="8" t="n">
        <f aca="false">IFERROR(Rohdaten!C105*100/Rohdaten!S105,"–")</f>
        <v>800</v>
      </c>
      <c r="P105" s="9" t="n">
        <f aca="false">IFERROR(Rohdaten!C105*100/Rohdaten!T105,"–")</f>
        <v>13.3333333333333</v>
      </c>
      <c r="Q105" s="9" t="str">
        <f aca="false">IFERROR(Rohdaten!C105*100/Rohdaten!U105,"–")</f>
        <v>–</v>
      </c>
      <c r="R105" s="8" t="n">
        <f aca="false">IFERROR(Rohdaten!C105*100/Rohdaten!V105,"–")</f>
        <v>3.07692307692308</v>
      </c>
      <c r="S105" s="8" t="n">
        <f aca="false">IFERROR(Rohdaten!C105*100/Rohdaten!W105,"–")</f>
        <v>66.6666666666667</v>
      </c>
      <c r="T105" s="8" t="n">
        <f aca="false">IFERROR(Rohdaten!C105*100/Rohdaten!X105,"–")</f>
        <v>2.10526315789474</v>
      </c>
      <c r="U105" s="8" t="n">
        <f aca="false">IFERROR(Rohdaten!C105*100/Rohdaten!Y105,"–")</f>
        <v>133.333333333333</v>
      </c>
      <c r="V105" s="8" t="n">
        <f aca="false">IFERROR(Rohdaten!C105*100/Rohdaten!Z105,"–")</f>
        <v>0.266666666666667</v>
      </c>
    </row>
    <row r="106" customFormat="false" ht="15" hidden="false" customHeight="true" outlineLevel="0" collapsed="false">
      <c r="A106" s="4" t="str">
        <f aca="false">Rohdaten!A106</f>
        <v>Milch-Ersatz, Dinkel</v>
      </c>
      <c r="B106" s="8" t="n">
        <f aca="false">Rohdaten!C106</f>
        <v>0.3</v>
      </c>
      <c r="C106" s="8" t="n">
        <f aca="false">IFERROR(Rohdaten!C106*100/Rohdaten!G106,"–")</f>
        <v>0.666666666666667</v>
      </c>
      <c r="D106" s="8" t="n">
        <f aca="false">IFERROR(Rohdaten!C106*100/(Rohdaten!H106*9),"–")</f>
        <v>2.22222222222222</v>
      </c>
      <c r="E106" s="8" t="n">
        <f aca="false">IFERROR(Rohdaten!C106*100/(Rohdaten!I106*4),"–")</f>
        <v>15</v>
      </c>
      <c r="F106" s="8" t="n">
        <f aca="false">IFERROR(Rohdaten!C106*100/(Rohdaten!J106*4),"–")</f>
        <v>1.07142857142857</v>
      </c>
      <c r="G106" s="9" t="str">
        <f aca="false">IFERROR(Rohdaten!C106*100/Rohdaten!K106,"–")</f>
        <v>–</v>
      </c>
      <c r="H106" s="8" t="str">
        <f aca="false">IFERROR(Rohdaten!C106*100/Rohdaten!L106,"–")</f>
        <v>–</v>
      </c>
      <c r="I106" s="9" t="str">
        <f aca="false">IFERROR(Rohdaten!C106*100/Rohdaten!M106,"–")</f>
        <v>–</v>
      </c>
      <c r="J106" s="8" t="n">
        <f aca="false">IFERROR(Rohdaten!C106*100/Rohdaten!N106,"–")</f>
        <v>150</v>
      </c>
      <c r="K106" s="9" t="n">
        <f aca="false">IFERROR(Rohdaten!C106*100/Rohdaten!O106,"–")</f>
        <v>30</v>
      </c>
      <c r="L106" s="8" t="n">
        <f aca="false">IFERROR(Rohdaten!C106*100/Rohdaten!P106,"–")</f>
        <v>1500</v>
      </c>
      <c r="M106" s="8" t="n">
        <f aca="false">IFERROR(Rohdaten!C106*100/Rohdaten!Q106,"–")</f>
        <v>1500</v>
      </c>
      <c r="N106" s="8" t="n">
        <f aca="false">IFERROR(Rohdaten!C106*100/Rohdaten!R106,"–")</f>
        <v>150</v>
      </c>
      <c r="O106" s="8" t="n">
        <f aca="false">IFERROR(Rohdaten!C106*100/Rohdaten!S106,"–")</f>
        <v>1000</v>
      </c>
      <c r="P106" s="9" t="n">
        <f aca="false">IFERROR(Rohdaten!C106*100/Rohdaten!T106,"–")</f>
        <v>10</v>
      </c>
      <c r="Q106" s="9" t="str">
        <f aca="false">IFERROR(Rohdaten!C106*100/Rohdaten!U106,"–")</f>
        <v>–</v>
      </c>
      <c r="R106" s="8" t="n">
        <f aca="false">IFERROR(Rohdaten!C106*100/Rohdaten!V106,"–")</f>
        <v>2</v>
      </c>
      <c r="S106" s="8" t="n">
        <f aca="false">IFERROR(Rohdaten!C106*100/Rohdaten!W106,"–")</f>
        <v>100</v>
      </c>
      <c r="T106" s="8" t="n">
        <f aca="false">IFERROR(Rohdaten!C106*100/Rohdaten!X106,"–")</f>
        <v>3.75</v>
      </c>
      <c r="U106" s="8" t="n">
        <f aca="false">IFERROR(Rohdaten!C106*100/Rohdaten!Y106,"–")</f>
        <v>300</v>
      </c>
      <c r="V106" s="8" t="n">
        <f aca="false">IFERROR(Rohdaten!C106*100/Rohdaten!Z106,"–")</f>
        <v>0.5</v>
      </c>
    </row>
    <row r="107" customFormat="false" ht="15" hidden="false" customHeight="true" outlineLevel="0" collapsed="false">
      <c r="A107" s="4" t="str">
        <f aca="false">Rohdaten!A107</f>
        <v>Walnüsse, in Schale</v>
      </c>
      <c r="B107" s="8" t="n">
        <f aca="false">Rohdaten!C107</f>
        <v>0.9</v>
      </c>
      <c r="C107" s="8" t="n">
        <f aca="false">IFERROR(Rohdaten!C107*100/Rohdaten!G107,"–")</f>
        <v>0.138461538461538</v>
      </c>
      <c r="D107" s="8" t="n">
        <f aca="false">IFERROR(Rohdaten!C107*100/(Rohdaten!H107*9),"–")</f>
        <v>0.153846153846154</v>
      </c>
      <c r="E107" s="8" t="n">
        <f aca="false">IFERROR(Rohdaten!C107*100/(Rohdaten!I107*4),"–")</f>
        <v>1.5</v>
      </c>
      <c r="F107" s="8" t="n">
        <f aca="false">IFERROR(Rohdaten!C107*100/(Rohdaten!J107*4),"–")</f>
        <v>1.60714285714286</v>
      </c>
      <c r="G107" s="9" t="n">
        <f aca="false">IFERROR(Rohdaten!C107*100/Rohdaten!K107,"–")</f>
        <v>90</v>
      </c>
      <c r="H107" s="8" t="n">
        <f aca="false">IFERROR(Rohdaten!C107*100/Rohdaten!L107,"–")</f>
        <v>69.2307692307692</v>
      </c>
      <c r="I107" s="9" t="str">
        <f aca="false">IFERROR(Rohdaten!C107*100/Rohdaten!M107,"–")</f>
        <v>–</v>
      </c>
      <c r="J107" s="8" t="n">
        <f aca="false">IFERROR(Rohdaten!C107*100/Rohdaten!N107,"–")</f>
        <v>128.571428571429</v>
      </c>
      <c r="K107" s="9" t="n">
        <f aca="false">IFERROR(Rohdaten!C107*100/Rohdaten!O107,"–")</f>
        <v>33.3333333333333</v>
      </c>
      <c r="L107" s="8" t="n">
        <f aca="false">IFERROR(Rohdaten!C107*100/Rohdaten!P107,"–")</f>
        <v>264.705882352941</v>
      </c>
      <c r="M107" s="8" t="n">
        <f aca="false">IFERROR(Rohdaten!C107*100/Rohdaten!Q107,"–")</f>
        <v>600</v>
      </c>
      <c r="N107" s="8" t="n">
        <f aca="false">IFERROR(Rohdaten!C107*100/Rohdaten!R107,"–")</f>
        <v>81.8181818181818</v>
      </c>
      <c r="O107" s="8" t="n">
        <f aca="false">IFERROR(Rohdaten!C107*100/Rohdaten!S107,"–")</f>
        <v>166.666666666667</v>
      </c>
      <c r="P107" s="9" t="n">
        <f aca="false">IFERROR(Rohdaten!C107*100/Rohdaten!T107,"–")</f>
        <v>0.918367346938776</v>
      </c>
      <c r="Q107" s="9" t="str">
        <f aca="false">IFERROR(Rohdaten!C107*100/Rohdaten!U107,"–")</f>
        <v>–</v>
      </c>
      <c r="R107" s="8" t="n">
        <f aca="false">IFERROR(Rohdaten!C107*100/Rohdaten!V107,"–")</f>
        <v>0.918367346938776</v>
      </c>
      <c r="S107" s="8" t="n">
        <f aca="false">IFERROR(Rohdaten!C107*100/Rohdaten!W107,"–")</f>
        <v>31.0344827586207</v>
      </c>
      <c r="T107" s="8" t="n">
        <f aca="false">IFERROR(Rohdaten!C107*100/Rohdaten!X107,"–")</f>
        <v>0.569620253164557</v>
      </c>
      <c r="U107" s="8" t="n">
        <f aca="false">IFERROR(Rohdaten!C107*100/Rohdaten!Y107,"–")</f>
        <v>29.0322580645161</v>
      </c>
      <c r="V107" s="8" t="n">
        <f aca="false">IFERROR(Rohdaten!C107*100/Rohdaten!Z107,"–")</f>
        <v>0.204081632653061</v>
      </c>
    </row>
    <row r="108" customFormat="false" ht="15" hidden="false" customHeight="true" outlineLevel="0" collapsed="false">
      <c r="A108" s="4" t="str">
        <f aca="false">Rohdaten!A108</f>
        <v>Erdnüsse, in Schale</v>
      </c>
      <c r="B108" s="8" t="n">
        <f aca="false">Rohdaten!C108</f>
        <v>0.8</v>
      </c>
      <c r="C108" s="8" t="n">
        <f aca="false">IFERROR(Rohdaten!C108*100/Rohdaten!G108,"–")</f>
        <v>0.140350877192982</v>
      </c>
      <c r="D108" s="8" t="n">
        <f aca="false">IFERROR(Rohdaten!C108*100/(Rohdaten!H108*9),"–")</f>
        <v>0.18140589569161</v>
      </c>
      <c r="E108" s="8" t="n">
        <f aca="false">IFERROR(Rohdaten!C108*100/(Rohdaten!I108*4),"–")</f>
        <v>0.769230769230769</v>
      </c>
      <c r="F108" s="8" t="n">
        <f aca="false">IFERROR(Rohdaten!C108*100/(Rohdaten!J108*4),"–")</f>
        <v>1.25</v>
      </c>
      <c r="G108" s="9" t="str">
        <f aca="false">IFERROR(Rohdaten!C108*100/Rohdaten!K108,"–")</f>
        <v>–</v>
      </c>
      <c r="H108" s="8" t="str">
        <f aca="false">IFERROR(Rohdaten!C108*100/Rohdaten!L108,"–")</f>
        <v>–</v>
      </c>
      <c r="I108" s="9" t="str">
        <f aca="false">IFERROR(Rohdaten!C108*100/Rohdaten!M108,"–")</f>
        <v>–</v>
      </c>
      <c r="J108" s="8" t="n">
        <f aca="false">IFERROR(Rohdaten!C108*100/Rohdaten!N108,"–")</f>
        <v>10</v>
      </c>
      <c r="K108" s="9" t="str">
        <f aca="false">IFERROR(Rohdaten!C108*100/Rohdaten!O108,"–")</f>
        <v>–</v>
      </c>
      <c r="L108" s="8" t="n">
        <f aca="false">IFERROR(Rohdaten!C108*100/Rohdaten!P108,"–")</f>
        <v>133.333333333333</v>
      </c>
      <c r="M108" s="8" t="n">
        <f aca="false">IFERROR(Rohdaten!C108*100/Rohdaten!Q108,"–")</f>
        <v>800</v>
      </c>
      <c r="N108" s="8" t="n">
        <f aca="false">IFERROR(Rohdaten!C108*100/Rohdaten!R108,"–")</f>
        <v>6.66666666666667</v>
      </c>
      <c r="O108" s="8" t="n">
        <f aca="false">IFERROR(Rohdaten!C108*100/Rohdaten!S108,"–")</f>
        <v>228.571428571429</v>
      </c>
      <c r="P108" s="9" t="n">
        <f aca="false">IFERROR(Rohdaten!C108*100/Rohdaten!T108,"–")</f>
        <v>0.333333333333333</v>
      </c>
      <c r="Q108" s="9" t="str">
        <f aca="false">IFERROR(Rohdaten!C108*100/Rohdaten!U108,"–")</f>
        <v>–</v>
      </c>
      <c r="R108" s="8" t="n">
        <f aca="false">IFERROR(Rohdaten!C108*100/Rohdaten!V108,"–")</f>
        <v>0.869565217391304</v>
      </c>
      <c r="S108" s="8" t="n">
        <f aca="false">IFERROR(Rohdaten!C108*100/Rohdaten!W108,"–")</f>
        <v>17.3913043478261</v>
      </c>
      <c r="T108" s="8" t="n">
        <f aca="false">IFERROR(Rohdaten!C108*100/Rohdaten!X108,"–")</f>
        <v>0.476190476190476</v>
      </c>
      <c r="U108" s="8" t="n">
        <f aca="false">IFERROR(Rohdaten!C108*100/Rohdaten!Y108,"–")</f>
        <v>24.2424242424242</v>
      </c>
      <c r="V108" s="8" t="n">
        <f aca="false">IFERROR(Rohdaten!C108*100/Rohdaten!Z108,"–")</f>
        <v>0.114285714285714</v>
      </c>
    </row>
    <row r="109" customFormat="false" ht="15" hidden="false" customHeight="true" outlineLevel="0" collapsed="false">
      <c r="A109" s="4" t="str">
        <f aca="false">Rohdaten!A109</f>
        <v>Erdnussbutter</v>
      </c>
      <c r="B109" s="8" t="n">
        <f aca="false">Rohdaten!C109</f>
        <v>2</v>
      </c>
      <c r="C109" s="8" t="n">
        <f aca="false">IFERROR(Rohdaten!C109*100/Rohdaten!G109,"–")</f>
        <v>0.338983050847458</v>
      </c>
      <c r="D109" s="8" t="n">
        <f aca="false">IFERROR(Rohdaten!C109*100/(Rohdaten!H109*9),"–")</f>
        <v>0.444444444444444</v>
      </c>
      <c r="E109" s="8" t="n">
        <f aca="false">IFERROR(Rohdaten!C109*100/(Rohdaten!I109*4),"–")</f>
        <v>2</v>
      </c>
      <c r="F109" s="8" t="n">
        <f aca="false">IFERROR(Rohdaten!C109*100/(Rohdaten!J109*4),"–")</f>
        <v>2.5</v>
      </c>
      <c r="G109" s="9" t="str">
        <f aca="false">IFERROR(Rohdaten!C109*100/Rohdaten!K109,"–")</f>
        <v>–</v>
      </c>
      <c r="H109" s="8" t="str">
        <f aca="false">IFERROR(Rohdaten!C109*100/Rohdaten!L109,"–")</f>
        <v>–</v>
      </c>
      <c r="I109" s="9" t="str">
        <f aca="false">IFERROR(Rohdaten!C109*100/Rohdaten!M109,"–")</f>
        <v>–</v>
      </c>
      <c r="J109" s="8" t="n">
        <f aca="false">IFERROR(Rohdaten!C109*100/Rohdaten!N109,"–")</f>
        <v>40</v>
      </c>
      <c r="K109" s="9" t="str">
        <f aca="false">IFERROR(Rohdaten!C109*100/Rohdaten!O109,"–")</f>
        <v>–</v>
      </c>
      <c r="L109" s="8" t="n">
        <f aca="false">IFERROR(Rohdaten!C109*100/Rohdaten!P109,"–")</f>
        <v>1333.33333333333</v>
      </c>
      <c r="M109" s="8" t="n">
        <f aca="false">IFERROR(Rohdaten!C109*100/Rohdaten!Q109,"–")</f>
        <v>2000</v>
      </c>
      <c r="N109" s="8" t="n">
        <f aca="false">IFERROR(Rohdaten!C109*100/Rohdaten!R109,"–")</f>
        <v>15.3846153846154</v>
      </c>
      <c r="O109" s="8" t="n">
        <f aca="false">IFERROR(Rohdaten!C109*100/Rohdaten!S109,"–")</f>
        <v>400</v>
      </c>
      <c r="P109" s="9" t="n">
        <f aca="false">IFERROR(Rohdaten!C109*100/Rohdaten!T109,"–")</f>
        <v>2.22222222222222</v>
      </c>
      <c r="Q109" s="9" t="str">
        <f aca="false">IFERROR(Rohdaten!C109*100/Rohdaten!U109,"–")</f>
        <v>–</v>
      </c>
      <c r="R109" s="8" t="n">
        <f aca="false">IFERROR(Rohdaten!C109*100/Rohdaten!V109,"–")</f>
        <v>4</v>
      </c>
      <c r="S109" s="8" t="n">
        <f aca="false">IFERROR(Rohdaten!C109*100/Rohdaten!W109,"–")</f>
        <v>100</v>
      </c>
      <c r="T109" s="8" t="n">
        <f aca="false">IFERROR(Rohdaten!C109*100/Rohdaten!X109,"–")</f>
        <v>1.25</v>
      </c>
      <c r="U109" s="8" t="n">
        <f aca="false">IFERROR(Rohdaten!C109*100/Rohdaten!Y109,"–")</f>
        <v>68.9655172413793</v>
      </c>
      <c r="V109" s="8" t="n">
        <f aca="false">IFERROR(Rohdaten!C109*100/Rohdaten!Z109,"–")</f>
        <v>0.307692307692308</v>
      </c>
    </row>
    <row r="110" customFormat="false" ht="15" hidden="false" customHeight="true" outlineLevel="0" collapsed="false">
      <c r="A110" s="4" t="str">
        <f aca="false">Rohdaten!A110</f>
        <v>Sonnenblumenkerne</v>
      </c>
      <c r="B110" s="8" t="n">
        <f aca="false">Rohdaten!C110</f>
        <v>1.5</v>
      </c>
      <c r="C110" s="8" t="n">
        <f aca="false">IFERROR(Rohdaten!C110*100/Rohdaten!G110,"–")</f>
        <v>0.258620689655172</v>
      </c>
      <c r="D110" s="8" t="n">
        <f aca="false">IFERROR(Rohdaten!C110*100/(Rohdaten!H110*9),"–")</f>
        <v>0.326797385620915</v>
      </c>
      <c r="E110" s="8" t="n">
        <f aca="false">IFERROR(Rohdaten!C110*100/(Rohdaten!I110*4),"–")</f>
        <v>1.78571428571429</v>
      </c>
      <c r="F110" s="8" t="n">
        <f aca="false">IFERROR(Rohdaten!C110*100/(Rohdaten!J110*4),"–")</f>
        <v>1.875</v>
      </c>
      <c r="G110" s="9" t="n">
        <f aca="false">IFERROR(Rohdaten!C110*100/Rohdaten!K110,"–")</f>
        <v>150</v>
      </c>
      <c r="H110" s="8" t="n">
        <f aca="false">IFERROR(Rohdaten!C110*100/Rohdaten!L110,"–")</f>
        <v>107.142857142857</v>
      </c>
      <c r="I110" s="9" t="str">
        <f aca="false">IFERROR(Rohdaten!C110*100/Rohdaten!M110,"–")</f>
        <v>–</v>
      </c>
      <c r="J110" s="8" t="n">
        <f aca="false">IFERROR(Rohdaten!C110*100/Rohdaten!N110,"–")</f>
        <v>4.28571428571429</v>
      </c>
      <c r="K110" s="9" t="str">
        <f aca="false">IFERROR(Rohdaten!C110*100/Rohdaten!O110,"–")</f>
        <v>–</v>
      </c>
      <c r="L110" s="8" t="n">
        <f aca="false">IFERROR(Rohdaten!C110*100/Rohdaten!P110,"–")</f>
        <v>100</v>
      </c>
      <c r="M110" s="8" t="n">
        <f aca="false">IFERROR(Rohdaten!C110*100/Rohdaten!Q110,"–")</f>
        <v>600</v>
      </c>
      <c r="N110" s="8" t="n">
        <f aca="false">IFERROR(Rohdaten!C110*100/Rohdaten!R110,"–")</f>
        <v>18.0722891566265</v>
      </c>
      <c r="O110" s="8" t="n">
        <f aca="false">IFERROR(Rohdaten!C110*100/Rohdaten!S110,"–")</f>
        <v>115.384615384615</v>
      </c>
      <c r="P110" s="9" t="n">
        <f aca="false">IFERROR(Rohdaten!C110*100/Rohdaten!T110,"–")</f>
        <v>0.66079295154185</v>
      </c>
      <c r="Q110" s="9" t="str">
        <f aca="false">IFERROR(Rohdaten!C110*100/Rohdaten!U110,"–")</f>
        <v>–</v>
      </c>
      <c r="R110" s="8" t="n">
        <f aca="false">IFERROR(Rohdaten!C110*100/Rohdaten!V110,"–")</f>
        <v>1.92307692307692</v>
      </c>
      <c r="S110" s="8" t="n">
        <f aca="false">IFERROR(Rohdaten!C110*100/Rohdaten!W110,"–")</f>
        <v>30</v>
      </c>
      <c r="T110" s="8" t="n">
        <f aca="false">IFERROR(Rohdaten!C110*100/Rohdaten!X110,"–")</f>
        <v>0.461538461538462</v>
      </c>
      <c r="U110" s="8" t="n">
        <f aca="false">IFERROR(Rohdaten!C110*100/Rohdaten!Y110,"–")</f>
        <v>30</v>
      </c>
      <c r="V110" s="8" t="n">
        <f aca="false">IFERROR(Rohdaten!C110*100/Rohdaten!Z110,"–")</f>
        <v>0.232558139534884</v>
      </c>
    </row>
    <row r="111" customFormat="false" ht="15" hidden="false" customHeight="true" outlineLevel="0" collapsed="false">
      <c r="A111" s="4" t="str">
        <f aca="false">Rohdaten!A111</f>
        <v>Leinsamen</v>
      </c>
      <c r="B111" s="8" t="n">
        <f aca="false">Rohdaten!C111</f>
        <v>1.4</v>
      </c>
      <c r="C111" s="8" t="n">
        <f aca="false">IFERROR(Rohdaten!C111*100/Rohdaten!G111,"–")</f>
        <v>0.262172284644195</v>
      </c>
      <c r="D111" s="8" t="n">
        <f aca="false">IFERROR(Rohdaten!C111*100/(Rohdaten!H111*9),"–")</f>
        <v>0.37037037037037</v>
      </c>
      <c r="E111" s="8" t="n">
        <f aca="false">IFERROR(Rohdaten!C111*100/(Rohdaten!I111*4),"–")</f>
        <v>1.94444444444444</v>
      </c>
      <c r="F111" s="8" t="n">
        <f aca="false">IFERROR(Rohdaten!C111*100/(Rohdaten!J111*4),"–")</f>
        <v>1.20689655172414</v>
      </c>
      <c r="G111" s="9" t="str">
        <f aca="false">IFERROR(Rohdaten!C111*100/Rohdaten!K111,"–")</f>
        <v>–</v>
      </c>
      <c r="H111" s="8" t="n">
        <f aca="false">IFERROR(Rohdaten!C111*100/Rohdaten!L111,"–")</f>
        <v>233.333333333333</v>
      </c>
      <c r="I111" s="9" t="str">
        <f aca="false">IFERROR(Rohdaten!C111*100/Rohdaten!M111,"–")</f>
        <v>–</v>
      </c>
      <c r="J111" s="8" t="n">
        <f aca="false">IFERROR(Rohdaten!C111*100/Rohdaten!N111,"–")</f>
        <v>466.666666666667</v>
      </c>
      <c r="K111" s="9" t="str">
        <f aca="false">IFERROR(Rohdaten!C111*100/Rohdaten!O111,"–")</f>
        <v>–</v>
      </c>
      <c r="L111" s="8" t="n">
        <f aca="false">IFERROR(Rohdaten!C111*100/Rohdaten!P111,"–")</f>
        <v>87.5</v>
      </c>
      <c r="M111" s="8" t="n">
        <f aca="false">IFERROR(Rohdaten!C111*100/Rohdaten!Q111,"–")</f>
        <v>875</v>
      </c>
      <c r="N111" s="8" t="n">
        <f aca="false">IFERROR(Rohdaten!C111*100/Rohdaten!R111,"–")</f>
        <v>45.1612903225806</v>
      </c>
      <c r="O111" s="8" t="n">
        <f aca="false">IFERROR(Rohdaten!C111*100/Rohdaten!S111,"–")</f>
        <v>297.872340425532</v>
      </c>
      <c r="P111" s="9" t="n">
        <f aca="false">IFERROR(Rohdaten!C111*100/Rohdaten!T111,"–")</f>
        <v>1.60919540229885</v>
      </c>
      <c r="Q111" s="9" t="str">
        <f aca="false">IFERROR(Rohdaten!C111*100/Rohdaten!U111,"–")</f>
        <v>–</v>
      </c>
      <c r="R111" s="8" t="n">
        <f aca="false">IFERROR(Rohdaten!C111*100/Rohdaten!V111,"–")</f>
        <v>0.549019607843137</v>
      </c>
      <c r="S111" s="8" t="n">
        <f aca="false">IFERROR(Rohdaten!C111*100/Rohdaten!W111,"–")</f>
        <v>24.5614035087719</v>
      </c>
      <c r="T111" s="8" t="n">
        <f aca="false">IFERROR(Rohdaten!C111*100/Rohdaten!X111,"–")</f>
        <v>0.357142857142857</v>
      </c>
      <c r="U111" s="8" t="n">
        <f aca="false">IFERROR(Rohdaten!C111*100/Rohdaten!Y111,"–")</f>
        <v>32.5581395348837</v>
      </c>
      <c r="V111" s="8" t="n">
        <f aca="false">IFERROR(Rohdaten!C111*100/Rohdaten!Z111,"–")</f>
        <v>0.17220172201722</v>
      </c>
    </row>
    <row r="112" customFormat="false" ht="15" hidden="false" customHeight="true" outlineLevel="0" collapsed="false">
      <c r="A112" s="4" t="str">
        <f aca="false">Rohdaten!A112</f>
        <v>Rinder-Hackfleisch</v>
      </c>
      <c r="B112" s="8" t="n">
        <f aca="false">Rohdaten!C112</f>
        <v>9.2</v>
      </c>
      <c r="C112" s="8" t="n">
        <f aca="false">IFERROR(Rohdaten!C112*100/Rohdaten!G112,"–")</f>
        <v>3.68</v>
      </c>
      <c r="D112" s="8" t="n">
        <f aca="false">IFERROR(Rohdaten!C112*100/(Rohdaten!H112*9),"–")</f>
        <v>5.11111111111111</v>
      </c>
      <c r="E112" s="8" t="n">
        <f aca="false">IFERROR(Rohdaten!C112*100/(Rohdaten!I112*4),"–")</f>
        <v>13.5294117647059</v>
      </c>
      <c r="F112" s="8" t="str">
        <f aca="false">IFERROR(Rohdaten!C112*100/(Rohdaten!J112*4),"–")</f>
        <v>–</v>
      </c>
      <c r="G112" s="9" t="str">
        <f aca="false">IFERROR(Rohdaten!C112*100/Rohdaten!K112,"–")</f>
        <v>–</v>
      </c>
      <c r="H112" s="8" t="str">
        <f aca="false">IFERROR(Rohdaten!C112*100/Rohdaten!L112,"–")</f>
        <v>–</v>
      </c>
      <c r="I112" s="9" t="str">
        <f aca="false">IFERROR(Rohdaten!C112*100/Rohdaten!M112,"–")</f>
        <v>–</v>
      </c>
      <c r="J112" s="8" t="n">
        <f aca="false">IFERROR(Rohdaten!C112*100/Rohdaten!N112,"–")</f>
        <v>3066.66666666667</v>
      </c>
      <c r="K112" s="9" t="n">
        <f aca="false">IFERROR(Rohdaten!C112*100/Rohdaten!O112,"–")</f>
        <v>613.333333333333</v>
      </c>
      <c r="L112" s="8" t="n">
        <f aca="false">IFERROR(Rohdaten!C112*100/Rohdaten!P112,"–")</f>
        <v>15333.3333333333</v>
      </c>
      <c r="M112" s="8" t="n">
        <f aca="false">IFERROR(Rohdaten!C112*100/Rohdaten!Q112,"–")</f>
        <v>5111.11111111111</v>
      </c>
      <c r="N112" s="8" t="n">
        <f aca="false">IFERROR(Rohdaten!C112*100/Rohdaten!R112,"–")</f>
        <v>204.444444444444</v>
      </c>
      <c r="O112" s="8" t="n">
        <f aca="false">IFERROR(Rohdaten!C112*100/Rohdaten!S112,"–")</f>
        <v>2628.57142857143</v>
      </c>
      <c r="P112" s="9" t="n">
        <f aca="false">IFERROR(Rohdaten!C112*100/Rohdaten!T112,"–")</f>
        <v>131.428571428571</v>
      </c>
      <c r="Q112" s="9" t="n">
        <f aca="false">IFERROR(Rohdaten!C112*100/Rohdaten!U112,"–")</f>
        <v>418.181818181818</v>
      </c>
      <c r="R112" s="8" t="n">
        <f aca="false">IFERROR(Rohdaten!C112*100/Rohdaten!V112,"–")</f>
        <v>92</v>
      </c>
      <c r="S112" s="8" t="n">
        <f aca="false">IFERROR(Rohdaten!C112*100/Rohdaten!W112,"–")</f>
        <v>400</v>
      </c>
      <c r="T112" s="8" t="n">
        <f aca="false">IFERROR(Rohdaten!C112*100/Rohdaten!X112,"–")</f>
        <v>51.1111111111111</v>
      </c>
      <c r="U112" s="8" t="n">
        <f aca="false">IFERROR(Rohdaten!C112*100/Rohdaten!Y112,"–")</f>
        <v>230</v>
      </c>
      <c r="V112" s="8" t="n">
        <f aca="false">IFERROR(Rohdaten!C112*100/Rohdaten!Z112,"–")</f>
        <v>3.06666666666667</v>
      </c>
    </row>
    <row r="113" customFormat="false" ht="15" hidden="false" customHeight="true" outlineLevel="0" collapsed="false">
      <c r="A113" s="4" t="str">
        <f aca="false">Rohdaten!A113</f>
        <v>Rinder-Hackfleisch (Bio)</v>
      </c>
      <c r="B113" s="8" t="n">
        <f aca="false">Rohdaten!C113</f>
        <v>15.1</v>
      </c>
      <c r="C113" s="8" t="n">
        <f aca="false">IFERROR(Rohdaten!C113*100/Rohdaten!G113,"–")</f>
        <v>6.04</v>
      </c>
      <c r="D113" s="8" t="n">
        <f aca="false">IFERROR(Rohdaten!C113*100/(Rohdaten!H113*9),"–")</f>
        <v>8.38888888888889</v>
      </c>
      <c r="E113" s="8" t="n">
        <f aca="false">IFERROR(Rohdaten!C113*100/(Rohdaten!I113*4),"–")</f>
        <v>22.2058823529412</v>
      </c>
      <c r="F113" s="8" t="str">
        <f aca="false">IFERROR(Rohdaten!C113*100/(Rohdaten!J113*4),"–")</f>
        <v>–</v>
      </c>
      <c r="G113" s="9" t="str">
        <f aca="false">IFERROR(Rohdaten!C113*100/Rohdaten!K113,"–")</f>
        <v>–</v>
      </c>
      <c r="H113" s="8" t="str">
        <f aca="false">IFERROR(Rohdaten!C113*100/Rohdaten!L113,"–")</f>
        <v>–</v>
      </c>
      <c r="I113" s="9" t="str">
        <f aca="false">IFERROR(Rohdaten!C113*100/Rohdaten!M113,"–")</f>
        <v>–</v>
      </c>
      <c r="J113" s="8" t="n">
        <f aca="false">IFERROR(Rohdaten!C113*100/Rohdaten!N113,"–")</f>
        <v>5033.33333333333</v>
      </c>
      <c r="K113" s="9" t="n">
        <f aca="false">IFERROR(Rohdaten!C113*100/Rohdaten!O113,"–")</f>
        <v>1006.66666666667</v>
      </c>
      <c r="L113" s="8" t="n">
        <f aca="false">IFERROR(Rohdaten!C113*100/Rohdaten!P113,"–")</f>
        <v>25166.6666666667</v>
      </c>
      <c r="M113" s="8" t="n">
        <f aca="false">IFERROR(Rohdaten!C113*100/Rohdaten!Q113,"–")</f>
        <v>8388.88888888889</v>
      </c>
      <c r="N113" s="8" t="n">
        <f aca="false">IFERROR(Rohdaten!C113*100/Rohdaten!R113,"–")</f>
        <v>335.555555555556</v>
      </c>
      <c r="O113" s="8" t="n">
        <f aca="false">IFERROR(Rohdaten!C113*100/Rohdaten!S113,"–")</f>
        <v>4314.28571428572</v>
      </c>
      <c r="P113" s="9" t="n">
        <f aca="false">IFERROR(Rohdaten!C113*100/Rohdaten!T113,"–")</f>
        <v>215.714285714286</v>
      </c>
      <c r="Q113" s="9" t="n">
        <f aca="false">IFERROR(Rohdaten!C113*100/Rohdaten!U113,"–")</f>
        <v>686.363636363636</v>
      </c>
      <c r="R113" s="8" t="n">
        <f aca="false">IFERROR(Rohdaten!C113*100/Rohdaten!V113,"–")</f>
        <v>151</v>
      </c>
      <c r="S113" s="8" t="n">
        <f aca="false">IFERROR(Rohdaten!C113*100/Rohdaten!W113,"–")</f>
        <v>656.521739130435</v>
      </c>
      <c r="T113" s="8" t="n">
        <f aca="false">IFERROR(Rohdaten!C113*100/Rohdaten!X113,"–")</f>
        <v>83.8888888888889</v>
      </c>
      <c r="U113" s="8" t="n">
        <f aca="false">IFERROR(Rohdaten!C113*100/Rohdaten!Y113,"–")</f>
        <v>377.5</v>
      </c>
      <c r="V113" s="8" t="n">
        <f aca="false">IFERROR(Rohdaten!C113*100/Rohdaten!Z113,"–")</f>
        <v>5.03333333333333</v>
      </c>
    </row>
    <row r="114" customFormat="false" ht="15" hidden="false" customHeight="true" outlineLevel="0" collapsed="false">
      <c r="A114" s="4" t="str">
        <f aca="false">Rohdaten!A114</f>
        <v>Rindfleisch (Bio)</v>
      </c>
      <c r="B114" s="8" t="n">
        <f aca="false">Rohdaten!C114</f>
        <v>21.7</v>
      </c>
      <c r="C114" s="8" t="n">
        <f aca="false">IFERROR(Rohdaten!C114*100/Rohdaten!G114,"–")</f>
        <v>8.68</v>
      </c>
      <c r="D114" s="8" t="n">
        <f aca="false">IFERROR(Rohdaten!C114*100/(Rohdaten!H114*9),"–")</f>
        <v>16.0740740740741</v>
      </c>
      <c r="E114" s="8" t="n">
        <f aca="false">IFERROR(Rohdaten!C114*100/(Rohdaten!I114*4),"–")</f>
        <v>20.8653846153846</v>
      </c>
      <c r="F114" s="8" t="str">
        <f aca="false">IFERROR(Rohdaten!C114*100/(Rohdaten!J114*4),"–")</f>
        <v>–</v>
      </c>
      <c r="G114" s="9" t="str">
        <f aca="false">IFERROR(Rohdaten!C114*100/Rohdaten!K114,"–")</f>
        <v>–</v>
      </c>
      <c r="H114" s="8" t="str">
        <f aca="false">IFERROR(Rohdaten!C114*100/Rohdaten!L114,"–")</f>
        <v>–</v>
      </c>
      <c r="I114" s="9" t="str">
        <f aca="false">IFERROR(Rohdaten!C114*100/Rohdaten!M114,"–")</f>
        <v>–</v>
      </c>
      <c r="J114" s="8" t="n">
        <f aca="false">IFERROR(Rohdaten!C114*100/Rohdaten!N114,"–")</f>
        <v>7233.33333333333</v>
      </c>
      <c r="K114" s="9" t="n">
        <f aca="false">IFERROR(Rohdaten!C114*100/Rohdaten!O114,"–")</f>
        <v>1446.66666666667</v>
      </c>
      <c r="L114" s="8" t="n">
        <f aca="false">IFERROR(Rohdaten!C114*100/Rohdaten!P114,"–")</f>
        <v>27125</v>
      </c>
      <c r="M114" s="8" t="n">
        <f aca="false">IFERROR(Rohdaten!C114*100/Rohdaten!Q114,"–")</f>
        <v>10850</v>
      </c>
      <c r="N114" s="8" t="n">
        <f aca="false">IFERROR(Rohdaten!C114*100/Rohdaten!R114,"–")</f>
        <v>434</v>
      </c>
      <c r="O114" s="8" t="n">
        <f aca="false">IFERROR(Rohdaten!C114*100/Rohdaten!S114,"–")</f>
        <v>5425</v>
      </c>
      <c r="P114" s="9" t="n">
        <f aca="false">IFERROR(Rohdaten!C114*100/Rohdaten!T114,"–")</f>
        <v>361.666666666667</v>
      </c>
      <c r="Q114" s="9" t="n">
        <f aca="false">IFERROR(Rohdaten!C114*100/Rohdaten!U114,"–")</f>
        <v>868</v>
      </c>
      <c r="R114" s="8" t="n">
        <f aca="false">IFERROR(Rohdaten!C114*100/Rohdaten!V114,"–")</f>
        <v>180.833333333333</v>
      </c>
      <c r="S114" s="8" t="n">
        <f aca="false">IFERROR(Rohdaten!C114*100/Rohdaten!W114,"–")</f>
        <v>868</v>
      </c>
      <c r="T114" s="8" t="n">
        <f aca="false">IFERROR(Rohdaten!C114*100/Rohdaten!X114,"–")</f>
        <v>98.6363636363636</v>
      </c>
      <c r="U114" s="8" t="n">
        <f aca="false">IFERROR(Rohdaten!C114*100/Rohdaten!Y114,"–")</f>
        <v>482.222222222222</v>
      </c>
      <c r="V114" s="8" t="n">
        <f aca="false">IFERROR(Rohdaten!C114*100/Rohdaten!Z114,"–")</f>
        <v>6.2</v>
      </c>
    </row>
    <row r="115" customFormat="false" ht="15" hidden="false" customHeight="true" outlineLevel="0" collapsed="false">
      <c r="A115" s="4" t="str">
        <f aca="false">Rohdaten!A115</f>
        <v>Rindfleisch, Durchschnitt</v>
      </c>
      <c r="B115" s="8" t="n">
        <f aca="false">Rohdaten!C115</f>
        <v>13.6</v>
      </c>
      <c r="C115" s="8" t="n">
        <f aca="false">IFERROR(Rohdaten!C115*100/Rohdaten!G115,"–")</f>
        <v>5.44</v>
      </c>
      <c r="D115" s="8" t="n">
        <f aca="false">IFERROR(Rohdaten!C115*100/(Rohdaten!H115*9),"–")</f>
        <v>10.0740740740741</v>
      </c>
      <c r="E115" s="8" t="n">
        <f aca="false">IFERROR(Rohdaten!C115*100/(Rohdaten!I115*4),"–")</f>
        <v>13.0769230769231</v>
      </c>
      <c r="F115" s="8" t="str">
        <f aca="false">IFERROR(Rohdaten!C115*100/(Rohdaten!J115*4),"–")</f>
        <v>–</v>
      </c>
      <c r="G115" s="9" t="str">
        <f aca="false">IFERROR(Rohdaten!C115*100/Rohdaten!K115,"–")</f>
        <v>–</v>
      </c>
      <c r="H115" s="8" t="str">
        <f aca="false">IFERROR(Rohdaten!C115*100/Rohdaten!L115,"–")</f>
        <v>–</v>
      </c>
      <c r="I115" s="9" t="str">
        <f aca="false">IFERROR(Rohdaten!C115*100/Rohdaten!M115,"–")</f>
        <v>–</v>
      </c>
      <c r="J115" s="8" t="n">
        <f aca="false">IFERROR(Rohdaten!C115*100/Rohdaten!N115,"–")</f>
        <v>4533.33333333333</v>
      </c>
      <c r="K115" s="9" t="n">
        <f aca="false">IFERROR(Rohdaten!C115*100/Rohdaten!O115,"–")</f>
        <v>906.666666666667</v>
      </c>
      <c r="L115" s="8" t="n">
        <f aca="false">IFERROR(Rohdaten!C115*100/Rohdaten!P115,"–")</f>
        <v>17000</v>
      </c>
      <c r="M115" s="8" t="n">
        <f aca="false">IFERROR(Rohdaten!C115*100/Rohdaten!Q115,"–")</f>
        <v>6800</v>
      </c>
      <c r="N115" s="8" t="n">
        <f aca="false">IFERROR(Rohdaten!C115*100/Rohdaten!R115,"–")</f>
        <v>272</v>
      </c>
      <c r="O115" s="8" t="n">
        <f aca="false">IFERROR(Rohdaten!C115*100/Rohdaten!S115,"–")</f>
        <v>3400</v>
      </c>
      <c r="P115" s="9" t="n">
        <f aca="false">IFERROR(Rohdaten!C115*100/Rohdaten!T115,"–")</f>
        <v>226.666666666667</v>
      </c>
      <c r="Q115" s="9" t="n">
        <f aca="false">IFERROR(Rohdaten!C115*100/Rohdaten!U115,"–")</f>
        <v>544</v>
      </c>
      <c r="R115" s="8" t="n">
        <f aca="false">IFERROR(Rohdaten!C115*100/Rohdaten!V115,"–")</f>
        <v>113.333333333333</v>
      </c>
      <c r="S115" s="8" t="n">
        <f aca="false">IFERROR(Rohdaten!C115*100/Rohdaten!W115,"–")</f>
        <v>544</v>
      </c>
      <c r="T115" s="8" t="n">
        <f aca="false">IFERROR(Rohdaten!C115*100/Rohdaten!X115,"–")</f>
        <v>61.8181818181818</v>
      </c>
      <c r="U115" s="8" t="n">
        <f aca="false">IFERROR(Rohdaten!C115*100/Rohdaten!Y115,"–")</f>
        <v>302.222222222222</v>
      </c>
      <c r="V115" s="8" t="n">
        <f aca="false">IFERROR(Rohdaten!C115*100/Rohdaten!Z115,"–")</f>
        <v>3.88571428571429</v>
      </c>
    </row>
    <row r="116" customFormat="false" ht="15" hidden="false" customHeight="true" outlineLevel="0" collapsed="false">
      <c r="A116" s="4" t="str">
        <f aca="false">Rohdaten!A116</f>
        <v>Rinder-Patty, tiefgekühlt</v>
      </c>
      <c r="B116" s="8" t="n">
        <f aca="false">Rohdaten!C116</f>
        <v>9</v>
      </c>
      <c r="C116" s="8" t="n">
        <f aca="false">IFERROR(Rohdaten!C116*100/Rohdaten!G116,"–")</f>
        <v>3.46153846153846</v>
      </c>
      <c r="D116" s="8" t="n">
        <f aca="false">IFERROR(Rohdaten!C116*100/(Rohdaten!H116*9),"–")</f>
        <v>5</v>
      </c>
      <c r="E116" s="8" t="n">
        <f aca="false">IFERROR(Rohdaten!C116*100/(Rohdaten!I116*4),"–")</f>
        <v>12.5</v>
      </c>
      <c r="F116" s="8" t="n">
        <f aca="false">IFERROR(Rohdaten!C116*100/(Rohdaten!J116*4),"–")</f>
        <v>225</v>
      </c>
      <c r="G116" s="9" t="str">
        <f aca="false">IFERROR(Rohdaten!C116*100/Rohdaten!K116,"–")</f>
        <v>–</v>
      </c>
      <c r="H116" s="8" t="str">
        <f aca="false">IFERROR(Rohdaten!C116*100/Rohdaten!L116,"–")</f>
        <v>–</v>
      </c>
      <c r="I116" s="9" t="str">
        <f aca="false">IFERROR(Rohdaten!C116*100/Rohdaten!M116,"–")</f>
        <v>–</v>
      </c>
      <c r="J116" s="8" t="n">
        <f aca="false">IFERROR(Rohdaten!C116*100/Rohdaten!N116,"–")</f>
        <v>3000</v>
      </c>
      <c r="K116" s="9" t="n">
        <f aca="false">IFERROR(Rohdaten!C116*100/Rohdaten!O116,"–")</f>
        <v>600</v>
      </c>
      <c r="L116" s="8" t="n">
        <f aca="false">IFERROR(Rohdaten!C116*100/Rohdaten!P116,"–")</f>
        <v>15000</v>
      </c>
      <c r="M116" s="8" t="n">
        <f aca="false">IFERROR(Rohdaten!C116*100/Rohdaten!Q116,"–")</f>
        <v>5000</v>
      </c>
      <c r="N116" s="8" t="n">
        <f aca="false">IFERROR(Rohdaten!C116*100/Rohdaten!R116,"–")</f>
        <v>200</v>
      </c>
      <c r="O116" s="8" t="n">
        <f aca="false">IFERROR(Rohdaten!C116*100/Rohdaten!S116,"–")</f>
        <v>2571.42857142857</v>
      </c>
      <c r="P116" s="9" t="n">
        <f aca="false">IFERROR(Rohdaten!C116*100/Rohdaten!T116,"–")</f>
        <v>128.571428571429</v>
      </c>
      <c r="Q116" s="9" t="n">
        <f aca="false">IFERROR(Rohdaten!C116*100/Rohdaten!U116,"–")</f>
        <v>409.090909090909</v>
      </c>
      <c r="R116" s="8" t="n">
        <f aca="false">IFERROR(Rohdaten!C116*100/Rohdaten!V116,"–")</f>
        <v>75</v>
      </c>
      <c r="S116" s="8" t="n">
        <f aca="false">IFERROR(Rohdaten!C116*100/Rohdaten!W116,"–")</f>
        <v>391.304347826087</v>
      </c>
      <c r="T116" s="8" t="n">
        <f aca="false">IFERROR(Rohdaten!C116*100/Rohdaten!X116,"–")</f>
        <v>50</v>
      </c>
      <c r="U116" s="8" t="n">
        <f aca="false">IFERROR(Rohdaten!C116*100/Rohdaten!Y116,"–")</f>
        <v>225</v>
      </c>
      <c r="V116" s="8" t="n">
        <f aca="false">IFERROR(Rohdaten!C116*100/Rohdaten!Z116,"–")</f>
        <v>3.10344827586207</v>
      </c>
    </row>
    <row r="117" customFormat="false" ht="15" hidden="false" customHeight="true" outlineLevel="0" collapsed="false">
      <c r="A117" s="4" t="str">
        <f aca="false">Rohdaten!A117</f>
        <v>Wurstaufschnitt vom Rind</v>
      </c>
      <c r="B117" s="8" t="n">
        <f aca="false">Rohdaten!C117</f>
        <v>7.9</v>
      </c>
      <c r="C117" s="8" t="n">
        <f aca="false">IFERROR(Rohdaten!C117*100/Rohdaten!G117,"–")</f>
        <v>3.95</v>
      </c>
      <c r="D117" s="8" t="n">
        <f aca="false">IFERROR(Rohdaten!C117*100/(Rohdaten!H117*9),"–")</f>
        <v>6.26984126984127</v>
      </c>
      <c r="E117" s="8" t="n">
        <f aca="false">IFERROR(Rohdaten!C117*100/(Rohdaten!I117*4),"–")</f>
        <v>10.9722222222222</v>
      </c>
      <c r="F117" s="8" t="n">
        <f aca="false">IFERROR(Rohdaten!C117*100/(Rohdaten!J117*4),"–")</f>
        <v>197.5</v>
      </c>
      <c r="G117" s="9" t="str">
        <f aca="false">IFERROR(Rohdaten!C117*100/Rohdaten!K117,"–")</f>
        <v>–</v>
      </c>
      <c r="H117" s="8" t="str">
        <f aca="false">IFERROR(Rohdaten!C117*100/Rohdaten!L117,"–")</f>
        <v>–</v>
      </c>
      <c r="I117" s="9" t="str">
        <f aca="false">IFERROR(Rohdaten!C117*100/Rohdaten!M117,"–")</f>
        <v>–</v>
      </c>
      <c r="J117" s="8" t="n">
        <f aca="false">IFERROR(Rohdaten!C117*100/Rohdaten!N117,"–")</f>
        <v>2633.33333333333</v>
      </c>
      <c r="K117" s="9" t="n">
        <f aca="false">IFERROR(Rohdaten!C117*100/Rohdaten!O117,"–")</f>
        <v>790</v>
      </c>
      <c r="L117" s="8" t="n">
        <f aca="false">IFERROR(Rohdaten!C117*100/Rohdaten!P117,"–")</f>
        <v>7900</v>
      </c>
      <c r="M117" s="8" t="n">
        <f aca="false">IFERROR(Rohdaten!C117*100/Rohdaten!Q117,"–")</f>
        <v>5266.66666666667</v>
      </c>
      <c r="N117" s="8" t="n">
        <f aca="false">IFERROR(Rohdaten!C117*100/Rohdaten!R117,"–")</f>
        <v>263.333333333333</v>
      </c>
      <c r="O117" s="8" t="n">
        <f aca="false">IFERROR(Rohdaten!C117*100/Rohdaten!S117,"–")</f>
        <v>3160</v>
      </c>
      <c r="P117" s="9" t="n">
        <f aca="false">IFERROR(Rohdaten!C117*100/Rohdaten!T117,"–")</f>
        <v>158</v>
      </c>
      <c r="Q117" s="9" t="n">
        <f aca="false">IFERROR(Rohdaten!C117*100/Rohdaten!U117,"–")</f>
        <v>438.888888888889</v>
      </c>
      <c r="R117" s="8" t="n">
        <f aca="false">IFERROR(Rohdaten!C117*100/Rohdaten!V117,"–")</f>
        <v>79</v>
      </c>
      <c r="S117" s="8" t="n">
        <f aca="false">IFERROR(Rohdaten!C117*100/Rohdaten!W117,"–")</f>
        <v>438.888888888889</v>
      </c>
      <c r="T117" s="8" t="n">
        <f aca="false">IFERROR(Rohdaten!C117*100/Rohdaten!X117,"–")</f>
        <v>52.6666666666667</v>
      </c>
      <c r="U117" s="8" t="n">
        <f aca="false">IFERROR(Rohdaten!C117*100/Rohdaten!Y117,"–")</f>
        <v>316</v>
      </c>
      <c r="V117" s="8" t="n">
        <f aca="false">IFERROR(Rohdaten!C117*100/Rohdaten!Z117,"–")</f>
        <v>3.16</v>
      </c>
    </row>
    <row r="118" customFormat="false" ht="15" hidden="false" customHeight="true" outlineLevel="0" collapsed="false">
      <c r="A118" s="4" t="str">
        <f aca="false">Rohdaten!A118</f>
        <v>Schweinefleisch (Bio)</v>
      </c>
      <c r="B118" s="8" t="n">
        <f aca="false">Rohdaten!C118</f>
        <v>5.2</v>
      </c>
      <c r="C118" s="8" t="n">
        <f aca="false">IFERROR(Rohdaten!C118*100/Rohdaten!G118,"–")</f>
        <v>2.14876033057851</v>
      </c>
      <c r="D118" s="8" t="n">
        <f aca="false">IFERROR(Rohdaten!C118*100/(Rohdaten!H118*9),"–")</f>
        <v>3.39869281045752</v>
      </c>
      <c r="E118" s="8" t="n">
        <f aca="false">IFERROR(Rohdaten!C118*100/(Rohdaten!I118*4),"–")</f>
        <v>6.19047619047619</v>
      </c>
      <c r="F118" s="8" t="str">
        <f aca="false">IFERROR(Rohdaten!C118*100/(Rohdaten!J118*4),"–")</f>
        <v>–</v>
      </c>
      <c r="G118" s="9" t="n">
        <f aca="false">IFERROR(Rohdaten!C118*100/Rohdaten!K118,"–")</f>
        <v>260</v>
      </c>
      <c r="H118" s="8" t="n">
        <f aca="false">IFERROR(Rohdaten!C118*100/Rohdaten!L118,"–")</f>
        <v>1040</v>
      </c>
      <c r="I118" s="9" t="n">
        <f aca="false">IFERROR(Rohdaten!C118*100/Rohdaten!M118,"–")</f>
        <v>520</v>
      </c>
      <c r="J118" s="8" t="n">
        <f aca="false">IFERROR(Rohdaten!C118*100/Rohdaten!N118,"–")</f>
        <v>1733.33333333333</v>
      </c>
      <c r="K118" s="9" t="str">
        <f aca="false">IFERROR(Rohdaten!C118*100/Rohdaten!O118,"–")</f>
        <v>–</v>
      </c>
      <c r="L118" s="8" t="n">
        <f aca="false">IFERROR(Rohdaten!C118*100/Rohdaten!P118,"–")</f>
        <v>866.666666666667</v>
      </c>
      <c r="M118" s="8" t="n">
        <f aca="false">IFERROR(Rohdaten!C118*100/Rohdaten!Q118,"–")</f>
        <v>2600</v>
      </c>
      <c r="N118" s="8" t="n">
        <f aca="false">IFERROR(Rohdaten!C118*100/Rohdaten!R118,"–")</f>
        <v>104</v>
      </c>
      <c r="O118" s="8" t="n">
        <f aca="false">IFERROR(Rohdaten!C118*100/Rohdaten!S118,"–")</f>
        <v>1040</v>
      </c>
      <c r="P118" s="9" t="n">
        <f aca="false">IFERROR(Rohdaten!C118*100/Rohdaten!T118,"–")</f>
        <v>173.333333333333</v>
      </c>
      <c r="Q118" s="9" t="n">
        <f aca="false">IFERROR(Rohdaten!C118*100/Rohdaten!U118,"–")</f>
        <v>742.857142857143</v>
      </c>
      <c r="R118" s="8" t="n">
        <f aca="false">IFERROR(Rohdaten!C118*100/Rohdaten!V118,"–")</f>
        <v>52</v>
      </c>
      <c r="S118" s="8" t="n">
        <f aca="false">IFERROR(Rohdaten!C118*100/Rohdaten!W118,"–")</f>
        <v>577.777777777778</v>
      </c>
      <c r="T118" s="8" t="n">
        <f aca="false">IFERROR(Rohdaten!C118*100/Rohdaten!X118,"–")</f>
        <v>26</v>
      </c>
      <c r="U118" s="8" t="n">
        <f aca="false">IFERROR(Rohdaten!C118*100/Rohdaten!Y118,"–")</f>
        <v>260</v>
      </c>
      <c r="V118" s="8" t="n">
        <f aca="false">IFERROR(Rohdaten!C118*100/Rohdaten!Z118,"–")</f>
        <v>1.36842105263158</v>
      </c>
    </row>
    <row r="119" customFormat="false" ht="15" hidden="false" customHeight="true" outlineLevel="0" collapsed="false">
      <c r="A119" s="4" t="str">
        <f aca="false">Rohdaten!A119</f>
        <v>Schweinefleisch, Durchschnitt</v>
      </c>
      <c r="B119" s="8" t="n">
        <f aca="false">Rohdaten!C119</f>
        <v>4.6</v>
      </c>
      <c r="C119" s="8" t="n">
        <f aca="false">IFERROR(Rohdaten!C119*100/Rohdaten!G119,"–")</f>
        <v>1.90082644628099</v>
      </c>
      <c r="D119" s="8" t="n">
        <f aca="false">IFERROR(Rohdaten!C119*100/(Rohdaten!H119*9),"–")</f>
        <v>3.00653594771242</v>
      </c>
      <c r="E119" s="8" t="n">
        <f aca="false">IFERROR(Rohdaten!C119*100/(Rohdaten!I119*4),"–")</f>
        <v>5.47619047619048</v>
      </c>
      <c r="F119" s="8" t="str">
        <f aca="false">IFERROR(Rohdaten!C119*100/(Rohdaten!J119*4),"–")</f>
        <v>–</v>
      </c>
      <c r="G119" s="9" t="n">
        <f aca="false">IFERROR(Rohdaten!C119*100/Rohdaten!K119,"–")</f>
        <v>230</v>
      </c>
      <c r="H119" s="8" t="n">
        <f aca="false">IFERROR(Rohdaten!C119*100/Rohdaten!L119,"–")</f>
        <v>920</v>
      </c>
      <c r="I119" s="9" t="n">
        <f aca="false">IFERROR(Rohdaten!C119*100/Rohdaten!M119,"–")</f>
        <v>460</v>
      </c>
      <c r="J119" s="8" t="n">
        <f aca="false">IFERROR(Rohdaten!C119*100/Rohdaten!N119,"–")</f>
        <v>1533.33333333333</v>
      </c>
      <c r="K119" s="9" t="str">
        <f aca="false">IFERROR(Rohdaten!C119*100/Rohdaten!O119,"–")</f>
        <v>–</v>
      </c>
      <c r="L119" s="8" t="n">
        <f aca="false">IFERROR(Rohdaten!C119*100/Rohdaten!P119,"–")</f>
        <v>766.666666666667</v>
      </c>
      <c r="M119" s="8" t="n">
        <f aca="false">IFERROR(Rohdaten!C119*100/Rohdaten!Q119,"–")</f>
        <v>2300</v>
      </c>
      <c r="N119" s="8" t="n">
        <f aca="false">IFERROR(Rohdaten!C119*100/Rohdaten!R119,"–")</f>
        <v>92</v>
      </c>
      <c r="O119" s="8" t="n">
        <f aca="false">IFERROR(Rohdaten!C119*100/Rohdaten!S119,"–")</f>
        <v>920</v>
      </c>
      <c r="P119" s="9" t="n">
        <f aca="false">IFERROR(Rohdaten!C119*100/Rohdaten!T119,"–")</f>
        <v>153.333333333333</v>
      </c>
      <c r="Q119" s="9" t="n">
        <f aca="false">IFERROR(Rohdaten!C119*100/Rohdaten!U119,"–")</f>
        <v>657.142857142857</v>
      </c>
      <c r="R119" s="8" t="n">
        <f aca="false">IFERROR(Rohdaten!C119*100/Rohdaten!V119,"–")</f>
        <v>46</v>
      </c>
      <c r="S119" s="8" t="n">
        <f aca="false">IFERROR(Rohdaten!C119*100/Rohdaten!W119,"–")</f>
        <v>511.111111111111</v>
      </c>
      <c r="T119" s="8" t="n">
        <f aca="false">IFERROR(Rohdaten!C119*100/Rohdaten!X119,"–")</f>
        <v>23</v>
      </c>
      <c r="U119" s="8" t="n">
        <f aca="false">IFERROR(Rohdaten!C119*100/Rohdaten!Y119,"–")</f>
        <v>230</v>
      </c>
      <c r="V119" s="8" t="n">
        <f aca="false">IFERROR(Rohdaten!C119*100/Rohdaten!Z119,"–")</f>
        <v>1.21052631578947</v>
      </c>
    </row>
    <row r="120" customFormat="false" ht="15" hidden="false" customHeight="true" outlineLevel="0" collapsed="false">
      <c r="A120" s="4" t="str">
        <f aca="false">Rohdaten!A120</f>
        <v>Schweinefleisch, gefroren</v>
      </c>
      <c r="B120" s="8" t="n">
        <f aca="false">Rohdaten!C120</f>
        <v>4.6</v>
      </c>
      <c r="C120" s="8" t="n">
        <f aca="false">IFERROR(Rohdaten!C120*100/Rohdaten!G120,"–")</f>
        <v>1.90082644628099</v>
      </c>
      <c r="D120" s="8" t="n">
        <f aca="false">IFERROR(Rohdaten!C120*100/(Rohdaten!H120*9),"–")</f>
        <v>3.00653594771242</v>
      </c>
      <c r="E120" s="8" t="n">
        <f aca="false">IFERROR(Rohdaten!C120*100/(Rohdaten!I120*4),"–")</f>
        <v>5.47619047619048</v>
      </c>
      <c r="F120" s="8" t="str">
        <f aca="false">IFERROR(Rohdaten!C120*100/(Rohdaten!J120*4),"–")</f>
        <v>–</v>
      </c>
      <c r="G120" s="9" t="n">
        <f aca="false">IFERROR(Rohdaten!C120*100/Rohdaten!K120,"–")</f>
        <v>230</v>
      </c>
      <c r="H120" s="8" t="n">
        <f aca="false">IFERROR(Rohdaten!C120*100/Rohdaten!L120,"–")</f>
        <v>920</v>
      </c>
      <c r="I120" s="9" t="n">
        <f aca="false">IFERROR(Rohdaten!C120*100/Rohdaten!M120,"–")</f>
        <v>460</v>
      </c>
      <c r="J120" s="8" t="n">
        <f aca="false">IFERROR(Rohdaten!C120*100/Rohdaten!N120,"–")</f>
        <v>1533.33333333333</v>
      </c>
      <c r="K120" s="9" t="str">
        <f aca="false">IFERROR(Rohdaten!C120*100/Rohdaten!O120,"–")</f>
        <v>–</v>
      </c>
      <c r="L120" s="8" t="n">
        <f aca="false">IFERROR(Rohdaten!C120*100/Rohdaten!P120,"–")</f>
        <v>766.666666666667</v>
      </c>
      <c r="M120" s="8" t="n">
        <f aca="false">IFERROR(Rohdaten!C120*100/Rohdaten!Q120,"–")</f>
        <v>2300</v>
      </c>
      <c r="N120" s="8" t="n">
        <f aca="false">IFERROR(Rohdaten!C120*100/Rohdaten!R120,"–")</f>
        <v>92</v>
      </c>
      <c r="O120" s="8" t="n">
        <f aca="false">IFERROR(Rohdaten!C120*100/Rohdaten!S120,"–")</f>
        <v>920</v>
      </c>
      <c r="P120" s="9" t="n">
        <f aca="false">IFERROR(Rohdaten!C120*100/Rohdaten!T120,"–")</f>
        <v>153.333333333333</v>
      </c>
      <c r="Q120" s="9" t="n">
        <f aca="false">IFERROR(Rohdaten!C120*100/Rohdaten!U120,"–")</f>
        <v>657.142857142857</v>
      </c>
      <c r="R120" s="8" t="n">
        <f aca="false">IFERROR(Rohdaten!C120*100/Rohdaten!V120,"–")</f>
        <v>46</v>
      </c>
      <c r="S120" s="8" t="n">
        <f aca="false">IFERROR(Rohdaten!C120*100/Rohdaten!W120,"–")</f>
        <v>511.111111111111</v>
      </c>
      <c r="T120" s="8" t="n">
        <f aca="false">IFERROR(Rohdaten!C120*100/Rohdaten!X120,"–")</f>
        <v>23</v>
      </c>
      <c r="U120" s="8" t="n">
        <f aca="false">IFERROR(Rohdaten!C120*100/Rohdaten!Y120,"–")</f>
        <v>230</v>
      </c>
      <c r="V120" s="8" t="n">
        <f aca="false">IFERROR(Rohdaten!C120*100/Rohdaten!Z120,"–")</f>
        <v>1.21052631578947</v>
      </c>
    </row>
    <row r="121" customFormat="false" ht="15" hidden="false" customHeight="true" outlineLevel="0" collapsed="false">
      <c r="A121" s="4" t="str">
        <f aca="false">Rohdaten!A121</f>
        <v>Hähnchen, Durchschnitt</v>
      </c>
      <c r="B121" s="8" t="n">
        <f aca="false">Rohdaten!C121</f>
        <v>5.5</v>
      </c>
      <c r="C121" s="8" t="n">
        <f aca="false">IFERROR(Rohdaten!C121*100/Rohdaten!G121,"–")</f>
        <v>3.33333333333333</v>
      </c>
      <c r="D121" s="8" t="n">
        <f aca="false">IFERROR(Rohdaten!C121*100/(Rohdaten!H121*9),"–")</f>
        <v>17.4603174603175</v>
      </c>
      <c r="E121" s="8" t="n">
        <f aca="false">IFERROR(Rohdaten!C121*100/(Rohdaten!I121*4),"–")</f>
        <v>4.43548387096774</v>
      </c>
      <c r="F121" s="8" t="str">
        <f aca="false">IFERROR(Rohdaten!C121*100/(Rohdaten!J121*4),"–")</f>
        <v>–</v>
      </c>
      <c r="G121" s="9" t="n">
        <f aca="false">IFERROR(Rohdaten!C121*100/Rohdaten!K121,"–")</f>
        <v>91.6666666666667</v>
      </c>
      <c r="H121" s="8" t="str">
        <f aca="false">IFERROR(Rohdaten!C121*100/Rohdaten!L121,"–")</f>
        <v>–</v>
      </c>
      <c r="I121" s="9" t="n">
        <f aca="false">IFERROR(Rohdaten!C121*100/Rohdaten!M121,"–")</f>
        <v>5500</v>
      </c>
      <c r="J121" s="8" t="n">
        <f aca="false">IFERROR(Rohdaten!C121*100/Rohdaten!N121,"–")</f>
        <v>1833.33333333333</v>
      </c>
      <c r="K121" s="9" t="str">
        <f aca="false">IFERROR(Rohdaten!C121*100/Rohdaten!O121,"–")</f>
        <v>–</v>
      </c>
      <c r="L121" s="8" t="n">
        <f aca="false">IFERROR(Rohdaten!C121*100/Rohdaten!P121,"–")</f>
        <v>7857.14285714286</v>
      </c>
      <c r="M121" s="8" t="n">
        <f aca="false">IFERROR(Rohdaten!C121*100/Rohdaten!Q121,"–")</f>
        <v>5500</v>
      </c>
      <c r="N121" s="8" t="n">
        <f aca="false">IFERROR(Rohdaten!C121*100/Rohdaten!R121,"–")</f>
        <v>55</v>
      </c>
      <c r="O121" s="8" t="n">
        <f aca="false">IFERROR(Rohdaten!C121*100/Rohdaten!S121,"–")</f>
        <v>916.666666666667</v>
      </c>
      <c r="P121" s="9" t="n">
        <f aca="false">IFERROR(Rohdaten!C121*100/Rohdaten!T121,"–")</f>
        <v>137.5</v>
      </c>
      <c r="Q121" s="9" t="n">
        <f aca="false">IFERROR(Rohdaten!C121*100/Rohdaten!U121,"–")</f>
        <v>1833.33333333333</v>
      </c>
      <c r="R121" s="8" t="n">
        <f aca="false">IFERROR(Rohdaten!C121*100/Rohdaten!V121,"–")</f>
        <v>50</v>
      </c>
      <c r="S121" s="8" t="n">
        <f aca="false">IFERROR(Rohdaten!C121*100/Rohdaten!W121,"–")</f>
        <v>785.714285714286</v>
      </c>
      <c r="T121" s="8" t="n">
        <f aca="false">IFERROR(Rohdaten!C121*100/Rohdaten!X121,"–")</f>
        <v>22</v>
      </c>
      <c r="U121" s="8" t="n">
        <f aca="false">IFERROR(Rohdaten!C121*100/Rohdaten!Y121,"–")</f>
        <v>550</v>
      </c>
      <c r="V121" s="8" t="n">
        <f aca="false">IFERROR(Rohdaten!C121*100/Rohdaten!Z121,"–")</f>
        <v>2.2</v>
      </c>
    </row>
    <row r="122" customFormat="false" ht="15" hidden="false" customHeight="true" outlineLevel="0" collapsed="false">
      <c r="A122" s="4" t="str">
        <f aca="false">Rohdaten!A122</f>
        <v>Hähnchen, gefroren</v>
      </c>
      <c r="B122" s="8" t="n">
        <f aca="false">Rohdaten!C122</f>
        <v>5.7</v>
      </c>
      <c r="C122" s="8" t="n">
        <f aca="false">IFERROR(Rohdaten!C122*100/Rohdaten!G122,"–")</f>
        <v>3.45454545454545</v>
      </c>
      <c r="D122" s="8" t="n">
        <f aca="false">IFERROR(Rohdaten!C122*100/(Rohdaten!H122*9),"–")</f>
        <v>18.0952380952381</v>
      </c>
      <c r="E122" s="8" t="n">
        <f aca="false">IFERROR(Rohdaten!C122*100/(Rohdaten!I122*4),"–")</f>
        <v>4.59677419354839</v>
      </c>
      <c r="F122" s="8" t="str">
        <f aca="false">IFERROR(Rohdaten!C122*100/(Rohdaten!J122*4),"–")</f>
        <v>–</v>
      </c>
      <c r="G122" s="9" t="n">
        <f aca="false">IFERROR(Rohdaten!C122*100/Rohdaten!K122,"–")</f>
        <v>95</v>
      </c>
      <c r="H122" s="8" t="str">
        <f aca="false">IFERROR(Rohdaten!C122*100/Rohdaten!L122,"–")</f>
        <v>–</v>
      </c>
      <c r="I122" s="9" t="n">
        <f aca="false">IFERROR(Rohdaten!C122*100/Rohdaten!M122,"–")</f>
        <v>5700</v>
      </c>
      <c r="J122" s="8" t="n">
        <f aca="false">IFERROR(Rohdaten!C122*100/Rohdaten!N122,"–")</f>
        <v>1900</v>
      </c>
      <c r="K122" s="9" t="str">
        <f aca="false">IFERROR(Rohdaten!C122*100/Rohdaten!O122,"–")</f>
        <v>–</v>
      </c>
      <c r="L122" s="8" t="n">
        <f aca="false">IFERROR(Rohdaten!C122*100/Rohdaten!P122,"–")</f>
        <v>8142.85714285714</v>
      </c>
      <c r="M122" s="8" t="n">
        <f aca="false">IFERROR(Rohdaten!C122*100/Rohdaten!Q122,"–")</f>
        <v>5700</v>
      </c>
      <c r="N122" s="8" t="n">
        <f aca="false">IFERROR(Rohdaten!C122*100/Rohdaten!R122,"–")</f>
        <v>57</v>
      </c>
      <c r="O122" s="8" t="n">
        <f aca="false">IFERROR(Rohdaten!C122*100/Rohdaten!S122,"–")</f>
        <v>950</v>
      </c>
      <c r="P122" s="9" t="n">
        <f aca="false">IFERROR(Rohdaten!C122*100/Rohdaten!T122,"–")</f>
        <v>142.5</v>
      </c>
      <c r="Q122" s="9" t="n">
        <f aca="false">IFERROR(Rohdaten!C122*100/Rohdaten!U122,"–")</f>
        <v>1900</v>
      </c>
      <c r="R122" s="8" t="n">
        <f aca="false">IFERROR(Rohdaten!C122*100/Rohdaten!V122,"–")</f>
        <v>51.8181818181818</v>
      </c>
      <c r="S122" s="8" t="n">
        <f aca="false">IFERROR(Rohdaten!C122*100/Rohdaten!W122,"–")</f>
        <v>814.285714285714</v>
      </c>
      <c r="T122" s="8" t="n">
        <f aca="false">IFERROR(Rohdaten!C122*100/Rohdaten!X122,"–")</f>
        <v>22.8</v>
      </c>
      <c r="U122" s="8" t="n">
        <f aca="false">IFERROR(Rohdaten!C122*100/Rohdaten!Y122,"–")</f>
        <v>570</v>
      </c>
      <c r="V122" s="8" t="n">
        <f aca="false">IFERROR(Rohdaten!C122*100/Rohdaten!Z122,"–")</f>
        <v>2.28</v>
      </c>
    </row>
    <row r="123" customFormat="false" ht="15" hidden="false" customHeight="true" outlineLevel="0" collapsed="false">
      <c r="A123" s="4" t="str">
        <f aca="false">Rohdaten!A123</f>
        <v>Hähnchen-Nuggets</v>
      </c>
      <c r="B123" s="8" t="n">
        <f aca="false">Rohdaten!C123</f>
        <v>3.3</v>
      </c>
      <c r="C123" s="8" t="n">
        <f aca="false">IFERROR(Rohdaten!C123*100/Rohdaten!G123,"–")</f>
        <v>1.32</v>
      </c>
      <c r="D123" s="8" t="n">
        <f aca="false">IFERROR(Rohdaten!C123*100/(Rohdaten!H123*9),"–")</f>
        <v>2.44444444444444</v>
      </c>
      <c r="E123" s="8" t="n">
        <f aca="false">IFERROR(Rohdaten!C123*100/(Rohdaten!I123*4),"–")</f>
        <v>5.89285714285714</v>
      </c>
      <c r="F123" s="8" t="n">
        <f aca="false">IFERROR(Rohdaten!C123*100/(Rohdaten!J123*4),"–")</f>
        <v>5.5</v>
      </c>
      <c r="G123" s="9" t="n">
        <f aca="false">IFERROR(Rohdaten!C123*100/Rohdaten!K123,"–")</f>
        <v>66</v>
      </c>
      <c r="H123" s="8" t="str">
        <f aca="false">IFERROR(Rohdaten!C123*100/Rohdaten!L123,"–")</f>
        <v>–</v>
      </c>
      <c r="I123" s="9" t="n">
        <f aca="false">IFERROR(Rohdaten!C123*100/Rohdaten!M123,"–")</f>
        <v>3300</v>
      </c>
      <c r="J123" s="8" t="n">
        <f aca="false">IFERROR(Rohdaten!C123*100/Rohdaten!N123,"–")</f>
        <v>660</v>
      </c>
      <c r="K123" s="9" t="n">
        <f aca="false">IFERROR(Rohdaten!C123*100/Rohdaten!O123,"–")</f>
        <v>165</v>
      </c>
      <c r="L123" s="8" t="n">
        <f aca="false">IFERROR(Rohdaten!C123*100/Rohdaten!P123,"–")</f>
        <v>4125</v>
      </c>
      <c r="M123" s="8" t="n">
        <f aca="false">IFERROR(Rohdaten!C123*100/Rohdaten!Q123,"–")</f>
        <v>3300</v>
      </c>
      <c r="N123" s="8" t="n">
        <f aca="false">IFERROR(Rohdaten!C123*100/Rohdaten!R123,"–")</f>
        <v>55</v>
      </c>
      <c r="O123" s="8" t="n">
        <f aca="false">IFERROR(Rohdaten!C123*100/Rohdaten!S123,"–")</f>
        <v>1100</v>
      </c>
      <c r="P123" s="9" t="n">
        <f aca="false">IFERROR(Rohdaten!C123*100/Rohdaten!T123,"–")</f>
        <v>22</v>
      </c>
      <c r="Q123" s="9" t="n">
        <f aca="false">IFERROR(Rohdaten!C123*100/Rohdaten!U123,"–")</f>
        <v>1100</v>
      </c>
      <c r="R123" s="8" t="n">
        <f aca="false">IFERROR(Rohdaten!C123*100/Rohdaten!V123,"–")</f>
        <v>16.5</v>
      </c>
      <c r="S123" s="8" t="n">
        <f aca="false">IFERROR(Rohdaten!C123*100/Rohdaten!W123,"–")</f>
        <v>412.5</v>
      </c>
      <c r="T123" s="8" t="n">
        <f aca="false">IFERROR(Rohdaten!C123*100/Rohdaten!X123,"–")</f>
        <v>18.3333333333333</v>
      </c>
      <c r="U123" s="8" t="n">
        <f aca="false">IFERROR(Rohdaten!C123*100/Rohdaten!Y123,"–")</f>
        <v>471.428571428571</v>
      </c>
      <c r="V123" s="8" t="n">
        <f aca="false">IFERROR(Rohdaten!C123*100/Rohdaten!Z123,"–")</f>
        <v>1.65</v>
      </c>
    </row>
    <row r="124" customFormat="false" ht="15" hidden="false" customHeight="true" outlineLevel="0" collapsed="false">
      <c r="A124" s="4" t="str">
        <f aca="false">Rohdaten!A124</f>
        <v>Hähnchen-Wurstaufschnitt</v>
      </c>
      <c r="B124" s="8" t="n">
        <f aca="false">Rohdaten!C124</f>
        <v>2.9</v>
      </c>
      <c r="C124" s="8" t="n">
        <f aca="false">IFERROR(Rohdaten!C124*100/Rohdaten!G124,"–")</f>
        <v>1.93333333333333</v>
      </c>
      <c r="D124" s="8" t="n">
        <f aca="false">IFERROR(Rohdaten!C124*100/(Rohdaten!H124*9),"–")</f>
        <v>4.02777777777778</v>
      </c>
      <c r="E124" s="8" t="n">
        <f aca="false">IFERROR(Rohdaten!C124*100/(Rohdaten!I124*4),"–")</f>
        <v>4.02777777777778</v>
      </c>
      <c r="F124" s="8" t="n">
        <f aca="false">IFERROR(Rohdaten!C124*100/(Rohdaten!J124*4),"–")</f>
        <v>72.5</v>
      </c>
      <c r="G124" s="9" t="n">
        <f aca="false">IFERROR(Rohdaten!C124*100/Rohdaten!K124,"–")</f>
        <v>96.6666666666667</v>
      </c>
      <c r="H124" s="8" t="str">
        <f aca="false">IFERROR(Rohdaten!C124*100/Rohdaten!L124,"–")</f>
        <v>–</v>
      </c>
      <c r="I124" s="9" t="n">
        <f aca="false">IFERROR(Rohdaten!C124*100/Rohdaten!M124,"–")</f>
        <v>2900</v>
      </c>
      <c r="J124" s="8" t="n">
        <f aca="false">IFERROR(Rohdaten!C124*100/Rohdaten!N124,"–")</f>
        <v>966.666666666667</v>
      </c>
      <c r="K124" s="9" t="str">
        <f aca="false">IFERROR(Rohdaten!C124*100/Rohdaten!O124,"–")</f>
        <v>–</v>
      </c>
      <c r="L124" s="8" t="n">
        <f aca="false">IFERROR(Rohdaten!C124*100/Rohdaten!P124,"–")</f>
        <v>5800</v>
      </c>
      <c r="M124" s="8" t="n">
        <f aca="false">IFERROR(Rohdaten!C124*100/Rohdaten!Q124,"–")</f>
        <v>3625</v>
      </c>
      <c r="N124" s="8" t="n">
        <f aca="false">IFERROR(Rohdaten!C124*100/Rohdaten!R124,"–")</f>
        <v>58</v>
      </c>
      <c r="O124" s="8" t="n">
        <f aca="false">IFERROR(Rohdaten!C124*100/Rohdaten!S124,"–")</f>
        <v>966.666666666667</v>
      </c>
      <c r="P124" s="9" t="n">
        <f aca="false">IFERROR(Rohdaten!C124*100/Rohdaten!T124,"–")</f>
        <v>58</v>
      </c>
      <c r="Q124" s="9" t="n">
        <f aca="false">IFERROR(Rohdaten!C124*100/Rohdaten!U124,"–")</f>
        <v>1450</v>
      </c>
      <c r="R124" s="8" t="n">
        <f aca="false">IFERROR(Rohdaten!C124*100/Rohdaten!V124,"–")</f>
        <v>29</v>
      </c>
      <c r="S124" s="8" t="n">
        <f aca="false">IFERROR(Rohdaten!C124*100/Rohdaten!W124,"–")</f>
        <v>580</v>
      </c>
      <c r="T124" s="8" t="n">
        <f aca="false">IFERROR(Rohdaten!C124*100/Rohdaten!X124,"–")</f>
        <v>19.3333333333333</v>
      </c>
      <c r="U124" s="8" t="n">
        <f aca="false">IFERROR(Rohdaten!C124*100/Rohdaten!Y124,"–")</f>
        <v>483.333333333333</v>
      </c>
      <c r="V124" s="8" t="n">
        <f aca="false">IFERROR(Rohdaten!C124*100/Rohdaten!Z124,"–")</f>
        <v>1.45</v>
      </c>
    </row>
    <row r="125" customFormat="false" ht="15" hidden="false" customHeight="true" outlineLevel="0" collapsed="false">
      <c r="A125" s="4" t="str">
        <f aca="false">Rohdaten!A125</f>
        <v>Bratwurst, Thüringer Art</v>
      </c>
      <c r="B125" s="8" t="n">
        <f aca="false">Rohdaten!C125</f>
        <v>2.9</v>
      </c>
      <c r="C125" s="8" t="n">
        <f aca="false">IFERROR(Rohdaten!C125*100/Rohdaten!G125,"–")</f>
        <v>1.03571428571429</v>
      </c>
      <c r="D125" s="8" t="n">
        <f aca="false">IFERROR(Rohdaten!C125*100/(Rohdaten!H125*9),"–")</f>
        <v>1.34259259259259</v>
      </c>
      <c r="E125" s="8" t="n">
        <f aca="false">IFERROR(Rohdaten!C125*100/(Rohdaten!I125*4),"–")</f>
        <v>5.57692307692308</v>
      </c>
      <c r="F125" s="8" t="n">
        <f aca="false">IFERROR(Rohdaten!C125*100/(Rohdaten!J125*4),"–")</f>
        <v>72.5</v>
      </c>
      <c r="G125" s="9" t="str">
        <f aca="false">IFERROR(Rohdaten!C125*100/Rohdaten!K125,"–")</f>
        <v>–</v>
      </c>
      <c r="H125" s="8" t="str">
        <f aca="false">IFERROR(Rohdaten!C125*100/Rohdaten!L125,"–")</f>
        <v>–</v>
      </c>
      <c r="I125" s="9" t="n">
        <f aca="false">IFERROR(Rohdaten!C125*100/Rohdaten!M125,"–")</f>
        <v>966.666666666667</v>
      </c>
      <c r="J125" s="8" t="n">
        <f aca="false">IFERROR(Rohdaten!C125*100/Rohdaten!N125,"–")</f>
        <v>966.666666666667</v>
      </c>
      <c r="K125" s="9" t="n">
        <f aca="false">IFERROR(Rohdaten!C125*100/Rohdaten!O125,"–")</f>
        <v>290</v>
      </c>
      <c r="L125" s="8" t="n">
        <f aca="false">IFERROR(Rohdaten!C125*100/Rohdaten!P125,"–")</f>
        <v>725</v>
      </c>
      <c r="M125" s="8" t="n">
        <f aca="false">IFERROR(Rohdaten!C125*100/Rohdaten!Q125,"–")</f>
        <v>1933.33333333333</v>
      </c>
      <c r="N125" s="8" t="n">
        <f aca="false">IFERROR(Rohdaten!C125*100/Rohdaten!R125,"–")</f>
        <v>72.5</v>
      </c>
      <c r="O125" s="8" t="n">
        <f aca="false">IFERROR(Rohdaten!C125*100/Rohdaten!S125,"–")</f>
        <v>966.666666666667</v>
      </c>
      <c r="P125" s="9" t="n">
        <f aca="false">IFERROR(Rohdaten!C125*100/Rohdaten!T125,"–")</f>
        <v>96.6666666666667</v>
      </c>
      <c r="Q125" s="9" t="n">
        <f aca="false">IFERROR(Rohdaten!C125*100/Rohdaten!U125,"–")</f>
        <v>362.5</v>
      </c>
      <c r="R125" s="8" t="n">
        <f aca="false">IFERROR(Rohdaten!C125*100/Rohdaten!V125,"–")</f>
        <v>29</v>
      </c>
      <c r="S125" s="8" t="n">
        <f aca="false">IFERROR(Rohdaten!C125*100/Rohdaten!W125,"–")</f>
        <v>290</v>
      </c>
      <c r="T125" s="8" t="n">
        <f aca="false">IFERROR(Rohdaten!C125*100/Rohdaten!X125,"–")</f>
        <v>19.3333333333333</v>
      </c>
      <c r="U125" s="8" t="n">
        <f aca="false">IFERROR(Rohdaten!C125*100/Rohdaten!Y125,"–")</f>
        <v>161.111111111111</v>
      </c>
      <c r="V125" s="8" t="n">
        <f aca="false">IFERROR(Rohdaten!C125*100/Rohdaten!Z125,"–")</f>
        <v>1.16</v>
      </c>
    </row>
    <row r="126" customFormat="false" ht="15" hidden="false" customHeight="true" outlineLevel="0" collapsed="false">
      <c r="A126" s="4" t="str">
        <f aca="false">Rohdaten!A126</f>
        <v>Wildfleisch, Hirsch</v>
      </c>
      <c r="B126" s="8" t="n">
        <f aca="false">Rohdaten!C126</f>
        <v>11.5</v>
      </c>
      <c r="C126" s="8" t="n">
        <f aca="false">IFERROR(Rohdaten!C126*100/Rohdaten!G126,"–")</f>
        <v>9.58333333333333</v>
      </c>
      <c r="D126" s="8" t="n">
        <f aca="false">IFERROR(Rohdaten!C126*100/(Rohdaten!H126*9),"–")</f>
        <v>51.1111111111111</v>
      </c>
      <c r="E126" s="8" t="n">
        <f aca="false">IFERROR(Rohdaten!C126*100/(Rohdaten!I126*4),"–")</f>
        <v>12.5</v>
      </c>
      <c r="F126" s="8" t="str">
        <f aca="false">IFERROR(Rohdaten!C126*100/(Rohdaten!J126*4),"–")</f>
        <v>–</v>
      </c>
      <c r="G126" s="9" t="str">
        <f aca="false">IFERROR(Rohdaten!C126*100/Rohdaten!K126,"–")</f>
        <v>–</v>
      </c>
      <c r="H126" s="8" t="str">
        <f aca="false">IFERROR(Rohdaten!C126*100/Rohdaten!L126,"–")</f>
        <v>–</v>
      </c>
      <c r="I126" s="9" t="str">
        <f aca="false">IFERROR(Rohdaten!C126*100/Rohdaten!M126,"–")</f>
        <v>–</v>
      </c>
      <c r="J126" s="8" t="n">
        <f aca="false">IFERROR(Rohdaten!C126*100/Rohdaten!N126,"–")</f>
        <v>2300</v>
      </c>
      <c r="K126" s="9" t="n">
        <f aca="false">IFERROR(Rohdaten!C126*100/Rohdaten!O126,"–")</f>
        <v>766.666666666667</v>
      </c>
      <c r="L126" s="8" t="n">
        <f aca="false">IFERROR(Rohdaten!C126*100/Rohdaten!P126,"–")</f>
        <v>7666.66666666667</v>
      </c>
      <c r="M126" s="8" t="n">
        <f aca="false">IFERROR(Rohdaten!C126*100/Rohdaten!Q126,"–")</f>
        <v>3833.33333333333</v>
      </c>
      <c r="N126" s="8" t="n">
        <f aca="false">IFERROR(Rohdaten!C126*100/Rohdaten!R126,"–")</f>
        <v>164.285714285714</v>
      </c>
      <c r="O126" s="8" t="n">
        <f aca="false">IFERROR(Rohdaten!C126*100/Rohdaten!S126,"–")</f>
        <v>2875</v>
      </c>
      <c r="P126" s="9" t="n">
        <f aca="false">IFERROR(Rohdaten!C126*100/Rohdaten!T126,"–")</f>
        <v>230</v>
      </c>
      <c r="Q126" s="9" t="n">
        <f aca="false">IFERROR(Rohdaten!C126*100/Rohdaten!U126,"–")</f>
        <v>383.333333333333</v>
      </c>
      <c r="R126" s="8" t="n">
        <f aca="false">IFERROR(Rohdaten!C126*100/Rohdaten!V126,"–")</f>
        <v>115</v>
      </c>
      <c r="S126" s="8" t="n">
        <f aca="false">IFERROR(Rohdaten!C126*100/Rohdaten!W126,"–")</f>
        <v>328.571428571429</v>
      </c>
      <c r="T126" s="8" t="n">
        <f aca="false">IFERROR(Rohdaten!C126*100/Rohdaten!X126,"–")</f>
        <v>46</v>
      </c>
      <c r="U126" s="8" t="n">
        <f aca="false">IFERROR(Rohdaten!C126*100/Rohdaten!Y126,"–")</f>
        <v>383.333333333333</v>
      </c>
      <c r="V126" s="8" t="n">
        <f aca="false">IFERROR(Rohdaten!C126*100/Rohdaten!Z126,"–")</f>
        <v>3.59375</v>
      </c>
    </row>
    <row r="127" customFormat="false" ht="15" hidden="false" customHeight="true" outlineLevel="0" collapsed="false">
      <c r="A127" s="4" t="str">
        <f aca="false">Rohdaten!A127</f>
        <v>Schaf-/Ziegenfleisch</v>
      </c>
      <c r="B127" s="8" t="n">
        <f aca="false">Rohdaten!C127</f>
        <v>14.9</v>
      </c>
      <c r="C127" s="8" t="n">
        <f aca="false">IFERROR(Rohdaten!C127*100/Rohdaten!G127,"–")</f>
        <v>5.96</v>
      </c>
      <c r="D127" s="8" t="n">
        <f aca="false">IFERROR(Rohdaten!C127*100/(Rohdaten!H127*9),"–")</f>
        <v>9.73856209150327</v>
      </c>
      <c r="E127" s="8" t="n">
        <f aca="false">IFERROR(Rohdaten!C127*100/(Rohdaten!I127*4),"–")</f>
        <v>14.9</v>
      </c>
      <c r="F127" s="8" t="str">
        <f aca="false">IFERROR(Rohdaten!C127*100/(Rohdaten!J127*4),"–")</f>
        <v>–</v>
      </c>
      <c r="G127" s="9" t="str">
        <f aca="false">IFERROR(Rohdaten!C127*100/Rohdaten!K127,"–")</f>
        <v>–</v>
      </c>
      <c r="H127" s="8" t="str">
        <f aca="false">IFERROR(Rohdaten!C127*100/Rohdaten!L127,"–")</f>
        <v>–</v>
      </c>
      <c r="I127" s="9" t="n">
        <f aca="false">IFERROR(Rohdaten!C127*100/Rohdaten!M127,"–")</f>
        <v>14900</v>
      </c>
      <c r="J127" s="8" t="n">
        <f aca="false">IFERROR(Rohdaten!C127*100/Rohdaten!N127,"–")</f>
        <v>2980</v>
      </c>
      <c r="K127" s="9" t="n">
        <f aca="false">IFERROR(Rohdaten!C127*100/Rohdaten!O127,"–")</f>
        <v>372.5</v>
      </c>
      <c r="L127" s="8" t="n">
        <f aca="false">IFERROR(Rohdaten!C127*100/Rohdaten!P127,"–")</f>
        <v>14900</v>
      </c>
      <c r="M127" s="8" t="n">
        <f aca="false">IFERROR(Rohdaten!C127*100/Rohdaten!Q127,"–")</f>
        <v>6478.26086956522</v>
      </c>
      <c r="N127" s="8" t="n">
        <f aca="false">IFERROR(Rohdaten!C127*100/Rohdaten!R127,"–")</f>
        <v>248.333333333333</v>
      </c>
      <c r="O127" s="8" t="n">
        <f aca="false">IFERROR(Rohdaten!C127*100/Rohdaten!S127,"–")</f>
        <v>9933.33333333333</v>
      </c>
      <c r="P127" s="9" t="n">
        <f aca="false">IFERROR(Rohdaten!C127*100/Rohdaten!T127,"–")</f>
        <v>298</v>
      </c>
      <c r="Q127" s="9" t="n">
        <f aca="false">IFERROR(Rohdaten!C127*100/Rohdaten!U127,"–")</f>
        <v>573.076923076923</v>
      </c>
      <c r="R127" s="8" t="n">
        <f aca="false">IFERROR(Rohdaten!C127*100/Rohdaten!V127,"–")</f>
        <v>186.25</v>
      </c>
      <c r="S127" s="8" t="n">
        <f aca="false">IFERROR(Rohdaten!C127*100/Rohdaten!W127,"–")</f>
        <v>784.21052631579</v>
      </c>
      <c r="T127" s="8" t="n">
        <f aca="false">IFERROR(Rohdaten!C127*100/Rohdaten!X127,"–")</f>
        <v>70.952380952381</v>
      </c>
      <c r="U127" s="8" t="n">
        <f aca="false">IFERROR(Rohdaten!C127*100/Rohdaten!Y127,"–")</f>
        <v>372.5</v>
      </c>
      <c r="V127" s="8" t="n">
        <f aca="false">IFERROR(Rohdaten!C127*100/Rohdaten!Z127,"–")</f>
        <v>4.80645161290323</v>
      </c>
    </row>
    <row r="128" customFormat="false" ht="15" hidden="false" customHeight="true" outlineLevel="0" collapsed="false">
      <c r="A128" s="4" t="str">
        <f aca="false">Rohdaten!A128</f>
        <v>Fisch, Aquakultur (Durchschnitt)</v>
      </c>
      <c r="B128" s="8" t="n">
        <f aca="false">Rohdaten!C128</f>
        <v>5.1</v>
      </c>
      <c r="C128" s="8" t="n">
        <f aca="false">IFERROR(Rohdaten!C128*100/Rohdaten!G128,"–")</f>
        <v>3.4</v>
      </c>
      <c r="D128" s="8" t="n">
        <f aca="false">IFERROR(Rohdaten!C128*100/(Rohdaten!H128*9),"–")</f>
        <v>9.44444444444444</v>
      </c>
      <c r="E128" s="8" t="n">
        <f aca="false">IFERROR(Rohdaten!C128*100/(Rohdaten!I128*4),"–")</f>
        <v>6.375</v>
      </c>
      <c r="F128" s="8" t="str">
        <f aca="false">IFERROR(Rohdaten!C128*100/(Rohdaten!J128*4),"–")</f>
        <v>–</v>
      </c>
      <c r="G128" s="9" t="n">
        <f aca="false">IFERROR(Rohdaten!C128*100/Rohdaten!K128,"–")</f>
        <v>51</v>
      </c>
      <c r="H128" s="8" t="str">
        <f aca="false">IFERROR(Rohdaten!C128*100/Rohdaten!L128,"–")</f>
        <v>–</v>
      </c>
      <c r="I128" s="9" t="n">
        <f aca="false">IFERROR(Rohdaten!C128*100/Rohdaten!M128,"–")</f>
        <v>102</v>
      </c>
      <c r="J128" s="8" t="n">
        <f aca="false">IFERROR(Rohdaten!C128*100/Rohdaten!N128,"–")</f>
        <v>340</v>
      </c>
      <c r="K128" s="9" t="n">
        <f aca="false">IFERROR(Rohdaten!C128*100/Rohdaten!O128,"–")</f>
        <v>5100</v>
      </c>
      <c r="L128" s="8" t="n">
        <f aca="false">IFERROR(Rohdaten!C128*100/Rohdaten!P128,"–")</f>
        <v>5100</v>
      </c>
      <c r="M128" s="8" t="n">
        <f aca="false">IFERROR(Rohdaten!C128*100/Rohdaten!Q128,"–")</f>
        <v>3400</v>
      </c>
      <c r="N128" s="8" t="n">
        <f aca="false">IFERROR(Rohdaten!C128*100/Rohdaten!R128,"–")</f>
        <v>127.5</v>
      </c>
      <c r="O128" s="8" t="n">
        <f aca="false">IFERROR(Rohdaten!C128*100/Rohdaten!S128,"–")</f>
        <v>1700</v>
      </c>
      <c r="P128" s="9" t="n">
        <f aca="false">IFERROR(Rohdaten!C128*100/Rohdaten!T128,"–")</f>
        <v>51</v>
      </c>
      <c r="Q128" s="9" t="n">
        <f aca="false">IFERROR(Rohdaten!C128*100/Rohdaten!U128,"–")</f>
        <v>255</v>
      </c>
      <c r="R128" s="8" t="n">
        <f aca="false">IFERROR(Rohdaten!C128*100/Rohdaten!V128,"–")</f>
        <v>34</v>
      </c>
      <c r="S128" s="8" t="n">
        <f aca="false">IFERROR(Rohdaten!C128*100/Rohdaten!W128,"–")</f>
        <v>1020</v>
      </c>
      <c r="T128" s="8" t="n">
        <f aca="false">IFERROR(Rohdaten!C128*100/Rohdaten!X128,"–")</f>
        <v>20.4</v>
      </c>
      <c r="U128" s="8" t="n">
        <f aca="false">IFERROR(Rohdaten!C128*100/Rohdaten!Y128,"–")</f>
        <v>1020</v>
      </c>
      <c r="V128" s="8" t="n">
        <f aca="false">IFERROR(Rohdaten!C128*100/Rohdaten!Z128,"–")</f>
        <v>1.59375</v>
      </c>
    </row>
    <row r="129" customFormat="false" ht="15" hidden="false" customHeight="true" outlineLevel="0" collapsed="false">
      <c r="A129" s="4" t="str">
        <f aca="false">Rohdaten!A129</f>
        <v>Garnelen, gefroren</v>
      </c>
      <c r="B129" s="8" t="n">
        <f aca="false">Rohdaten!C129</f>
        <v>12.5</v>
      </c>
      <c r="C129" s="8" t="n">
        <f aca="false">IFERROR(Rohdaten!C129*100/Rohdaten!G129,"–")</f>
        <v>14.7058823529412</v>
      </c>
      <c r="D129" s="8" t="n">
        <f aca="false">IFERROR(Rohdaten!C129*100/(Rohdaten!H129*9),"–")</f>
        <v>277.777777777778</v>
      </c>
      <c r="E129" s="8" t="n">
        <f aca="false">IFERROR(Rohdaten!C129*100/(Rohdaten!I129*4),"–")</f>
        <v>15.625</v>
      </c>
      <c r="F129" s="8" t="str">
        <f aca="false">IFERROR(Rohdaten!C129*100/(Rohdaten!J129*4),"–")</f>
        <v>–</v>
      </c>
      <c r="G129" s="9" t="str">
        <f aca="false">IFERROR(Rohdaten!C129*100/Rohdaten!K129,"–")</f>
        <v>–</v>
      </c>
      <c r="H129" s="8" t="n">
        <f aca="false">IFERROR(Rohdaten!C129*100/Rohdaten!L129,"–")</f>
        <v>625</v>
      </c>
      <c r="I129" s="9" t="str">
        <f aca="false">IFERROR(Rohdaten!C129*100/Rohdaten!M129,"–")</f>
        <v>–</v>
      </c>
      <c r="J129" s="8" t="n">
        <f aca="false">IFERROR(Rohdaten!C129*100/Rohdaten!N129,"–")</f>
        <v>1250</v>
      </c>
      <c r="K129" s="9" t="str">
        <f aca="false">IFERROR(Rohdaten!C129*100/Rohdaten!O129,"–")</f>
        <v>–</v>
      </c>
      <c r="L129" s="8" t="n">
        <f aca="false">IFERROR(Rohdaten!C129*100/Rohdaten!P129,"–")</f>
        <v>62500</v>
      </c>
      <c r="M129" s="8" t="n">
        <f aca="false">IFERROR(Rohdaten!C129*100/Rohdaten!Q129,"–")</f>
        <v>41666.6666666667</v>
      </c>
      <c r="N129" s="8" t="n">
        <f aca="false">IFERROR(Rohdaten!C129*100/Rohdaten!R129,"–")</f>
        <v>625</v>
      </c>
      <c r="O129" s="8" t="n">
        <f aca="false">IFERROR(Rohdaten!C129*100/Rohdaten!S129,"–")</f>
        <v>12500</v>
      </c>
      <c r="P129" s="9" t="n">
        <f aca="false">IFERROR(Rohdaten!C129*100/Rohdaten!T129,"–")</f>
        <v>416.666666666667</v>
      </c>
      <c r="Q129" s="9" t="n">
        <f aca="false">IFERROR(Rohdaten!C129*100/Rohdaten!U129,"–")</f>
        <v>1041.66666666667</v>
      </c>
      <c r="R129" s="8" t="n">
        <f aca="false">IFERROR(Rohdaten!C129*100/Rohdaten!V129,"–")</f>
        <v>17.8571428571429</v>
      </c>
      <c r="S129" s="8" t="n">
        <f aca="false">IFERROR(Rohdaten!C129*100/Rohdaten!W129,"–")</f>
        <v>2500</v>
      </c>
      <c r="T129" s="8" t="n">
        <f aca="false">IFERROR(Rohdaten!C129*100/Rohdaten!X129,"–")</f>
        <v>31.25</v>
      </c>
      <c r="U129" s="8" t="n">
        <f aca="false">IFERROR(Rohdaten!C129*100/Rohdaten!Y129,"–")</f>
        <v>961.538461538462</v>
      </c>
      <c r="V129" s="8" t="n">
        <f aca="false">IFERROR(Rohdaten!C129*100/Rohdaten!Z129,"–")</f>
        <v>4.80769230769231</v>
      </c>
    </row>
    <row r="130" customFormat="false" ht="15" hidden="false" customHeight="true" outlineLevel="0" collapsed="false">
      <c r="A130" s="4" t="str">
        <f aca="false">Rohdaten!A130</f>
        <v>Fisch, Wildfang, frisch</v>
      </c>
      <c r="B130" s="8" t="n">
        <f aca="false">Rohdaten!C130</f>
        <v>4</v>
      </c>
      <c r="C130" s="8" t="n">
        <f aca="false">IFERROR(Rohdaten!C130*100/Rohdaten!G130,"–")</f>
        <v>3.63636363636364</v>
      </c>
      <c r="D130" s="8" t="n">
        <f aca="false">IFERROR(Rohdaten!C130*100/(Rohdaten!H130*9),"–")</f>
        <v>17.7777777777778</v>
      </c>
      <c r="E130" s="8" t="n">
        <f aca="false">IFERROR(Rohdaten!C130*100/(Rohdaten!I130*4),"–")</f>
        <v>5</v>
      </c>
      <c r="F130" s="8" t="str">
        <f aca="false">IFERROR(Rohdaten!C130*100/(Rohdaten!J130*4),"–")</f>
        <v>–</v>
      </c>
      <c r="G130" s="9" t="n">
        <f aca="false">IFERROR(Rohdaten!C130*100/Rohdaten!K130,"–")</f>
        <v>26.6666666666667</v>
      </c>
      <c r="H130" s="8" t="str">
        <f aca="false">IFERROR(Rohdaten!C130*100/Rohdaten!L130,"–")</f>
        <v>–</v>
      </c>
      <c r="I130" s="9" t="n">
        <f aca="false">IFERROR(Rohdaten!C130*100/Rohdaten!M130,"–")</f>
        <v>66.6666666666667</v>
      </c>
      <c r="J130" s="8" t="n">
        <f aca="false">IFERROR(Rohdaten!C130*100/Rohdaten!N130,"–")</f>
        <v>400</v>
      </c>
      <c r="K130" s="9" t="n">
        <f aca="false">IFERROR(Rohdaten!C130*100/Rohdaten!O130,"–")</f>
        <v>4000</v>
      </c>
      <c r="L130" s="8" t="n">
        <f aca="false">IFERROR(Rohdaten!C130*100/Rohdaten!P130,"–")</f>
        <v>4000</v>
      </c>
      <c r="M130" s="8" t="n">
        <f aca="false">IFERROR(Rohdaten!C130*100/Rohdaten!Q130,"–")</f>
        <v>2666.66666666667</v>
      </c>
      <c r="N130" s="8" t="n">
        <f aca="false">IFERROR(Rohdaten!C130*100/Rohdaten!R130,"–")</f>
        <v>114.285714285714</v>
      </c>
      <c r="O130" s="8" t="n">
        <f aca="false">IFERROR(Rohdaten!C130*100/Rohdaten!S130,"–")</f>
        <v>1142.85714285714</v>
      </c>
      <c r="P130" s="9" t="n">
        <f aca="false">IFERROR(Rohdaten!C130*100/Rohdaten!T130,"–")</f>
        <v>40</v>
      </c>
      <c r="Q130" s="9" t="n">
        <f aca="false">IFERROR(Rohdaten!C130*100/Rohdaten!U130,"–")</f>
        <v>160</v>
      </c>
      <c r="R130" s="8" t="n">
        <f aca="false">IFERROR(Rohdaten!C130*100/Rohdaten!V130,"–")</f>
        <v>20</v>
      </c>
      <c r="S130" s="8" t="n">
        <f aca="false">IFERROR(Rohdaten!C130*100/Rohdaten!W130,"–")</f>
        <v>666.666666666667</v>
      </c>
      <c r="T130" s="8" t="n">
        <f aca="false">IFERROR(Rohdaten!C130*100/Rohdaten!X130,"–")</f>
        <v>14.2857142857143</v>
      </c>
      <c r="U130" s="8" t="n">
        <f aca="false">IFERROR(Rohdaten!C130*100/Rohdaten!Y130,"–")</f>
        <v>666.666666666667</v>
      </c>
      <c r="V130" s="8" t="n">
        <f aca="false">IFERROR(Rohdaten!C130*100/Rohdaten!Z130,"–")</f>
        <v>1.14285714285714</v>
      </c>
    </row>
    <row r="131" customFormat="false" ht="15" hidden="false" customHeight="true" outlineLevel="0" collapsed="false">
      <c r="A131" s="4" t="str">
        <f aca="false">Rohdaten!A131</f>
        <v>Fisch, Wildfang, Massenware, gefroren</v>
      </c>
      <c r="B131" s="8" t="n">
        <f aca="false">Rohdaten!C131</f>
        <v>2.4</v>
      </c>
      <c r="C131" s="8" t="n">
        <f aca="false">IFERROR(Rohdaten!C131*100/Rohdaten!G131,"–")</f>
        <v>2.66666666666667</v>
      </c>
      <c r="D131" s="8" t="n">
        <f aca="false">IFERROR(Rohdaten!C131*100/(Rohdaten!H131*9),"–")</f>
        <v>26.6666666666667</v>
      </c>
      <c r="E131" s="8" t="n">
        <f aca="false">IFERROR(Rohdaten!C131*100/(Rohdaten!I131*4),"–")</f>
        <v>3.15789473684211</v>
      </c>
      <c r="F131" s="8" t="str">
        <f aca="false">IFERROR(Rohdaten!C131*100/(Rohdaten!J131*4),"–")</f>
        <v>–</v>
      </c>
      <c r="G131" s="9" t="n">
        <f aca="false">IFERROR(Rohdaten!C131*100/Rohdaten!K131,"–")</f>
        <v>24</v>
      </c>
      <c r="H131" s="8" t="str">
        <f aca="false">IFERROR(Rohdaten!C131*100/Rohdaten!L131,"–")</f>
        <v>–</v>
      </c>
      <c r="I131" s="9" t="n">
        <f aca="false">IFERROR(Rohdaten!C131*100/Rohdaten!M131,"–")</f>
        <v>80</v>
      </c>
      <c r="J131" s="8" t="n">
        <f aca="false">IFERROR(Rohdaten!C131*100/Rohdaten!N131,"–")</f>
        <v>480</v>
      </c>
      <c r="K131" s="9" t="n">
        <f aca="false">IFERROR(Rohdaten!C131*100/Rohdaten!O131,"–")</f>
        <v>2400</v>
      </c>
      <c r="L131" s="8" t="n">
        <f aca="false">IFERROR(Rohdaten!C131*100/Rohdaten!P131,"–")</f>
        <v>3000</v>
      </c>
      <c r="M131" s="8" t="n">
        <f aca="false">IFERROR(Rohdaten!C131*100/Rohdaten!Q131,"–")</f>
        <v>2400</v>
      </c>
      <c r="N131" s="8" t="n">
        <f aca="false">IFERROR(Rohdaten!C131*100/Rohdaten!R131,"–")</f>
        <v>96</v>
      </c>
      <c r="O131" s="8" t="n">
        <f aca="false">IFERROR(Rohdaten!C131*100/Rohdaten!S131,"–")</f>
        <v>960</v>
      </c>
      <c r="P131" s="9" t="n">
        <f aca="false">IFERROR(Rohdaten!C131*100/Rohdaten!T131,"–")</f>
        <v>30</v>
      </c>
      <c r="Q131" s="9" t="n">
        <f aca="false">IFERROR(Rohdaten!C131*100/Rohdaten!U131,"–")</f>
        <v>133.333333333333</v>
      </c>
      <c r="R131" s="8" t="n">
        <f aca="false">IFERROR(Rohdaten!C131*100/Rohdaten!V131,"–")</f>
        <v>13.3333333333333</v>
      </c>
      <c r="S131" s="8" t="n">
        <f aca="false">IFERROR(Rohdaten!C131*100/Rohdaten!W131,"–")</f>
        <v>600</v>
      </c>
      <c r="T131" s="8" t="n">
        <f aca="false">IFERROR(Rohdaten!C131*100/Rohdaten!X131,"–")</f>
        <v>9.6</v>
      </c>
      <c r="U131" s="8" t="n">
        <f aca="false">IFERROR(Rohdaten!C131*100/Rohdaten!Y131,"–")</f>
        <v>480</v>
      </c>
      <c r="V131" s="8" t="n">
        <f aca="false">IFERROR(Rohdaten!C131*100/Rohdaten!Z131,"–")</f>
        <v>0.75</v>
      </c>
    </row>
    <row r="132" customFormat="false" ht="15" hidden="false" customHeight="true" outlineLevel="0" collapsed="false">
      <c r="A132" s="4" t="str">
        <f aca="false">Rohdaten!A132</f>
        <v>Fisch, Wildfang, Spezialität, gefroren</v>
      </c>
      <c r="B132" s="8" t="n">
        <f aca="false">Rohdaten!C132</f>
        <v>10</v>
      </c>
      <c r="C132" s="8" t="n">
        <f aca="false">IFERROR(Rohdaten!C132*100/Rohdaten!G132,"–")</f>
        <v>7.14285714285714</v>
      </c>
      <c r="D132" s="8" t="n">
        <f aca="false">IFERROR(Rohdaten!C132*100/(Rohdaten!H132*9),"–")</f>
        <v>22.2222222222222</v>
      </c>
      <c r="E132" s="8" t="n">
        <f aca="false">IFERROR(Rohdaten!C132*100/(Rohdaten!I132*4),"–")</f>
        <v>11.3636363636364</v>
      </c>
      <c r="F132" s="8" t="str">
        <f aca="false">IFERROR(Rohdaten!C132*100/(Rohdaten!J132*4),"–")</f>
        <v>–</v>
      </c>
      <c r="G132" s="9" t="n">
        <f aca="false">IFERROR(Rohdaten!C132*100/Rohdaten!K132,"–")</f>
        <v>50</v>
      </c>
      <c r="H132" s="8" t="str">
        <f aca="false">IFERROR(Rohdaten!C132*100/Rohdaten!L132,"–")</f>
        <v>–</v>
      </c>
      <c r="I132" s="9" t="n">
        <f aca="false">IFERROR(Rohdaten!C132*100/Rohdaten!M132,"–")</f>
        <v>125</v>
      </c>
      <c r="J132" s="8" t="n">
        <f aca="false">IFERROR(Rohdaten!C132*100/Rohdaten!N132,"–")</f>
        <v>666.666666666667</v>
      </c>
      <c r="K132" s="9" t="n">
        <f aca="false">IFERROR(Rohdaten!C132*100/Rohdaten!O132,"–")</f>
        <v>10000</v>
      </c>
      <c r="L132" s="8" t="n">
        <f aca="false">IFERROR(Rohdaten!C132*100/Rohdaten!P132,"–")</f>
        <v>8333.33333333333</v>
      </c>
      <c r="M132" s="8" t="n">
        <f aca="false">IFERROR(Rohdaten!C132*100/Rohdaten!Q132,"–")</f>
        <v>5555.55555555556</v>
      </c>
      <c r="N132" s="8" t="n">
        <f aca="false">IFERROR(Rohdaten!C132*100/Rohdaten!R132,"–")</f>
        <v>222.222222222222</v>
      </c>
      <c r="O132" s="8" t="n">
        <f aca="false">IFERROR(Rohdaten!C132*100/Rohdaten!S132,"–")</f>
        <v>2500</v>
      </c>
      <c r="P132" s="9" t="n">
        <f aca="false">IFERROR(Rohdaten!C132*100/Rohdaten!T132,"–")</f>
        <v>83.3333333333333</v>
      </c>
      <c r="Q132" s="9" t="n">
        <f aca="false">IFERROR(Rohdaten!C132*100/Rohdaten!U132,"–")</f>
        <v>333.333333333333</v>
      </c>
      <c r="R132" s="8" t="n">
        <f aca="false">IFERROR(Rohdaten!C132*100/Rohdaten!V132,"–")</f>
        <v>45.4545454545455</v>
      </c>
      <c r="S132" s="8" t="n">
        <f aca="false">IFERROR(Rohdaten!C132*100/Rohdaten!W132,"–")</f>
        <v>1428.57142857143</v>
      </c>
      <c r="T132" s="8" t="n">
        <f aca="false">IFERROR(Rohdaten!C132*100/Rohdaten!X132,"–")</f>
        <v>33.3333333333333</v>
      </c>
      <c r="U132" s="8" t="n">
        <f aca="false">IFERROR(Rohdaten!C132*100/Rohdaten!Y132,"–")</f>
        <v>1428.57142857143</v>
      </c>
      <c r="V132" s="8" t="n">
        <f aca="false">IFERROR(Rohdaten!C132*100/Rohdaten!Z132,"–")</f>
        <v>2.63157894736842</v>
      </c>
    </row>
    <row r="133" customFormat="false" ht="15" hidden="false" customHeight="true" outlineLevel="0" collapsed="false">
      <c r="A133" s="4" t="str">
        <f aca="false">Rohdaten!A133</f>
        <v>Butter, Durchschnitt</v>
      </c>
      <c r="B133" s="8" t="n">
        <f aca="false">Rohdaten!C133</f>
        <v>9</v>
      </c>
      <c r="C133" s="8" t="n">
        <f aca="false">IFERROR(Rohdaten!C133*100/Rohdaten!G133,"–")</f>
        <v>1.25523012552301</v>
      </c>
      <c r="D133" s="8" t="n">
        <f aca="false">IFERROR(Rohdaten!C133*100/(Rohdaten!H133*9),"–")</f>
        <v>1.23456790123457</v>
      </c>
      <c r="E133" s="8" t="n">
        <f aca="false">IFERROR(Rohdaten!C133*100/(Rohdaten!I133*4),"–")</f>
        <v>250</v>
      </c>
      <c r="F133" s="8" t="n">
        <f aca="false">IFERROR(Rohdaten!C133*100/(Rohdaten!J133*4),"–")</f>
        <v>2250</v>
      </c>
      <c r="G133" s="9" t="n">
        <f aca="false">IFERROR(Rohdaten!C133*100/Rohdaten!K133,"–")</f>
        <v>1.37825421133231</v>
      </c>
      <c r="H133" s="8" t="str">
        <f aca="false">IFERROR(Rohdaten!C133*100/Rohdaten!L133,"–")</f>
        <v>–</v>
      </c>
      <c r="I133" s="9" t="n">
        <f aca="false">IFERROR(Rohdaten!C133*100/Rohdaten!M133,"–")</f>
        <v>600</v>
      </c>
      <c r="J133" s="8" t="n">
        <f aca="false">IFERROR(Rohdaten!C133*100/Rohdaten!N133,"–")</f>
        <v>391.304347826087</v>
      </c>
      <c r="K133" s="9" t="n">
        <f aca="false">IFERROR(Rohdaten!C133*100/Rohdaten!O133,"–")</f>
        <v>128.571428571429</v>
      </c>
      <c r="L133" s="8" t="str">
        <f aca="false">IFERROR(Rohdaten!C133*100/Rohdaten!P133,"–")</f>
        <v>–</v>
      </c>
      <c r="M133" s="8" t="n">
        <f aca="false">IFERROR(Rohdaten!C133*100/Rohdaten!Q133,"–")</f>
        <v>90000</v>
      </c>
      <c r="N133" s="8" t="n">
        <f aca="false">IFERROR(Rohdaten!C133*100/Rohdaten!R133,"–")</f>
        <v>45000</v>
      </c>
      <c r="O133" s="8" t="n">
        <f aca="false">IFERROR(Rohdaten!C133*100/Rohdaten!S133,"–")</f>
        <v>300000</v>
      </c>
      <c r="P133" s="9" t="n">
        <f aca="false">IFERROR(Rohdaten!C133*100/Rohdaten!T133,"–")</f>
        <v>300</v>
      </c>
      <c r="Q133" s="9" t="n">
        <f aca="false">IFERROR(Rohdaten!C133*100/Rohdaten!U133,"–")</f>
        <v>4500</v>
      </c>
      <c r="R133" s="8" t="n">
        <f aca="false">IFERROR(Rohdaten!C133*100/Rohdaten!V133,"–")</f>
        <v>37.5</v>
      </c>
      <c r="S133" s="8" t="n">
        <f aca="false">IFERROR(Rohdaten!C133*100/Rohdaten!W133,"–")</f>
        <v>45000</v>
      </c>
      <c r="T133" s="8" t="n">
        <f aca="false">IFERROR(Rohdaten!C133*100/Rohdaten!X133,"–")</f>
        <v>450</v>
      </c>
      <c r="U133" s="8" t="n">
        <f aca="false">IFERROR(Rohdaten!C133*100/Rohdaten!Y133,"–")</f>
        <v>9000</v>
      </c>
      <c r="V133" s="8" t="n">
        <f aca="false">IFERROR(Rohdaten!C133*100/Rohdaten!Z133,"–")</f>
        <v>37.5</v>
      </c>
    </row>
    <row r="134" customFormat="false" ht="15" hidden="false" customHeight="true" outlineLevel="0" collapsed="false">
      <c r="A134" s="4" t="str">
        <f aca="false">Rohdaten!A134</f>
        <v>Butter (Bio)</v>
      </c>
      <c r="B134" s="8" t="n">
        <f aca="false">Rohdaten!C134</f>
        <v>11.5</v>
      </c>
      <c r="C134" s="8" t="n">
        <f aca="false">IFERROR(Rohdaten!C134*100/Rohdaten!G134,"–")</f>
        <v>1.60390516039052</v>
      </c>
      <c r="D134" s="8" t="n">
        <f aca="false">IFERROR(Rohdaten!C134*100/(Rohdaten!H134*9),"–")</f>
        <v>1.57750342935528</v>
      </c>
      <c r="E134" s="8" t="n">
        <f aca="false">IFERROR(Rohdaten!C134*100/(Rohdaten!I134*4),"–")</f>
        <v>319.444444444444</v>
      </c>
      <c r="F134" s="8" t="n">
        <f aca="false">IFERROR(Rohdaten!C134*100/(Rohdaten!J134*4),"–")</f>
        <v>2875</v>
      </c>
      <c r="G134" s="9" t="n">
        <f aca="false">IFERROR(Rohdaten!C134*100/Rohdaten!K134,"–")</f>
        <v>1.76110260336907</v>
      </c>
      <c r="H134" s="8" t="str">
        <f aca="false">IFERROR(Rohdaten!C134*100/Rohdaten!L134,"–")</f>
        <v>–</v>
      </c>
      <c r="I134" s="9" t="n">
        <f aca="false">IFERROR(Rohdaten!C134*100/Rohdaten!M134,"–")</f>
        <v>766.666666666667</v>
      </c>
      <c r="J134" s="8" t="n">
        <f aca="false">IFERROR(Rohdaten!C134*100/Rohdaten!N134,"–")</f>
        <v>500</v>
      </c>
      <c r="K134" s="9" t="n">
        <f aca="false">IFERROR(Rohdaten!C134*100/Rohdaten!O134,"–")</f>
        <v>164.285714285714</v>
      </c>
      <c r="L134" s="8" t="str">
        <f aca="false">IFERROR(Rohdaten!C134*100/Rohdaten!P134,"–")</f>
        <v>–</v>
      </c>
      <c r="M134" s="8" t="n">
        <f aca="false">IFERROR(Rohdaten!C134*100/Rohdaten!Q134,"–")</f>
        <v>115000</v>
      </c>
      <c r="N134" s="8" t="n">
        <f aca="false">IFERROR(Rohdaten!C134*100/Rohdaten!R134,"–")</f>
        <v>57500</v>
      </c>
      <c r="O134" s="8" t="n">
        <f aca="false">IFERROR(Rohdaten!C134*100/Rohdaten!S134,"–")</f>
        <v>383333.333333333</v>
      </c>
      <c r="P134" s="9" t="n">
        <f aca="false">IFERROR(Rohdaten!C134*100/Rohdaten!T134,"–")</f>
        <v>383.333333333333</v>
      </c>
      <c r="Q134" s="9" t="n">
        <f aca="false">IFERROR(Rohdaten!C134*100/Rohdaten!U134,"–")</f>
        <v>5750</v>
      </c>
      <c r="R134" s="8" t="n">
        <f aca="false">IFERROR(Rohdaten!C134*100/Rohdaten!V134,"–")</f>
        <v>47.9166666666667</v>
      </c>
      <c r="S134" s="8" t="n">
        <f aca="false">IFERROR(Rohdaten!C134*100/Rohdaten!W134,"–")</f>
        <v>57500</v>
      </c>
      <c r="T134" s="8" t="n">
        <f aca="false">IFERROR(Rohdaten!C134*100/Rohdaten!X134,"–")</f>
        <v>575</v>
      </c>
      <c r="U134" s="8" t="n">
        <f aca="false">IFERROR(Rohdaten!C134*100/Rohdaten!Y134,"–")</f>
        <v>11500</v>
      </c>
      <c r="V134" s="8" t="n">
        <f aca="false">IFERROR(Rohdaten!C134*100/Rohdaten!Z134,"–")</f>
        <v>47.9166666666667</v>
      </c>
    </row>
    <row r="135" customFormat="false" ht="15" hidden="false" customHeight="true" outlineLevel="0" collapsed="false">
      <c r="A135" s="4" t="str">
        <f aca="false">Rohdaten!A135</f>
        <v>Milch, Vollmilch</v>
      </c>
      <c r="B135" s="8" t="n">
        <f aca="false">Rohdaten!C135</f>
        <v>1.4</v>
      </c>
      <c r="C135" s="8" t="n">
        <f aca="false">IFERROR(Rohdaten!C135*100/Rohdaten!G135,"–")</f>
        <v>2.1875</v>
      </c>
      <c r="D135" s="8" t="n">
        <f aca="false">IFERROR(Rohdaten!C135*100/(Rohdaten!H135*9),"–")</f>
        <v>4.44444444444445</v>
      </c>
      <c r="E135" s="8" t="n">
        <f aca="false">IFERROR(Rohdaten!C135*100/(Rohdaten!I135*4),"–")</f>
        <v>10.6060606060606</v>
      </c>
      <c r="F135" s="8" t="n">
        <f aca="false">IFERROR(Rohdaten!C135*100/(Rohdaten!J135*4),"–")</f>
        <v>7.29166666666667</v>
      </c>
      <c r="G135" s="9" t="n">
        <f aca="false">IFERROR(Rohdaten!C135*100/Rohdaten!K135,"–")</f>
        <v>5</v>
      </c>
      <c r="H135" s="8" t="n">
        <f aca="false">IFERROR(Rohdaten!C135*100/Rohdaten!L135,"–")</f>
        <v>140</v>
      </c>
      <c r="I135" s="9" t="n">
        <f aca="false">IFERROR(Rohdaten!C135*100/Rohdaten!M135,"–")</f>
        <v>1400</v>
      </c>
      <c r="J135" s="8" t="n">
        <f aca="false">IFERROR(Rohdaten!C135*100/Rohdaten!N135,"–")</f>
        <v>1400</v>
      </c>
      <c r="K135" s="9" t="n">
        <f aca="false">IFERROR(Rohdaten!C135*100/Rohdaten!O135,"–")</f>
        <v>700</v>
      </c>
      <c r="L135" s="8" t="n">
        <f aca="false">IFERROR(Rohdaten!C135*100/Rohdaten!P135,"–")</f>
        <v>3500</v>
      </c>
      <c r="M135" s="8" t="n">
        <f aca="false">IFERROR(Rohdaten!C135*100/Rohdaten!Q135,"–")</f>
        <v>777.777777777778</v>
      </c>
      <c r="N135" s="8" t="n">
        <f aca="false">IFERROR(Rohdaten!C135*100/Rohdaten!R135,"–")</f>
        <v>1400</v>
      </c>
      <c r="O135" s="8" t="n">
        <f aca="false">IFERROR(Rohdaten!C135*100/Rohdaten!S135,"–")</f>
        <v>3500</v>
      </c>
      <c r="P135" s="9" t="n">
        <f aca="false">IFERROR(Rohdaten!C135*100/Rohdaten!T135,"–")</f>
        <v>28</v>
      </c>
      <c r="Q135" s="9" t="n">
        <f aca="false">IFERROR(Rohdaten!C135*100/Rohdaten!U135,"–")</f>
        <v>350</v>
      </c>
      <c r="R135" s="8" t="n">
        <f aca="false">IFERROR(Rohdaten!C135*100/Rohdaten!V135,"–")</f>
        <v>1.16666666666667</v>
      </c>
      <c r="S135" s="8" t="n">
        <f aca="false">IFERROR(Rohdaten!C135*100/Rohdaten!W135,"–")</f>
        <v>2800</v>
      </c>
      <c r="T135" s="8" t="n">
        <f aca="false">IFERROR(Rohdaten!C135*100/Rohdaten!X135,"–")</f>
        <v>11.6666666666667</v>
      </c>
      <c r="U135" s="8" t="n">
        <f aca="false">IFERROR(Rohdaten!C135*100/Rohdaten!Y135,"–")</f>
        <v>350</v>
      </c>
      <c r="V135" s="8" t="n">
        <f aca="false">IFERROR(Rohdaten!C135*100/Rohdaten!Z135,"–")</f>
        <v>0.933333333333333</v>
      </c>
    </row>
    <row r="136" customFormat="false" ht="15" hidden="false" customHeight="true" outlineLevel="0" collapsed="false">
      <c r="A136" s="4" t="str">
        <f aca="false">Rohdaten!A136</f>
        <v>Milch (Bio), Vollmilch</v>
      </c>
      <c r="B136" s="8" t="n">
        <f aca="false">Rohdaten!C136</f>
        <v>1.7</v>
      </c>
      <c r="C136" s="8" t="n">
        <f aca="false">IFERROR(Rohdaten!C136*100/Rohdaten!G136,"–")</f>
        <v>2.65625</v>
      </c>
      <c r="D136" s="8" t="n">
        <f aca="false">IFERROR(Rohdaten!C136*100/(Rohdaten!H136*9),"–")</f>
        <v>5.3968253968254</v>
      </c>
      <c r="E136" s="8" t="n">
        <f aca="false">IFERROR(Rohdaten!C136*100/(Rohdaten!I136*4),"–")</f>
        <v>12.8787878787879</v>
      </c>
      <c r="F136" s="8" t="n">
        <f aca="false">IFERROR(Rohdaten!C136*100/(Rohdaten!J136*4),"–")</f>
        <v>8.85416666666667</v>
      </c>
      <c r="G136" s="9" t="n">
        <f aca="false">IFERROR(Rohdaten!C136*100/Rohdaten!K136,"–")</f>
        <v>6.07142857142857</v>
      </c>
      <c r="H136" s="8" t="n">
        <f aca="false">IFERROR(Rohdaten!C136*100/Rohdaten!L136,"–")</f>
        <v>170</v>
      </c>
      <c r="I136" s="9" t="n">
        <f aca="false">IFERROR(Rohdaten!C136*100/Rohdaten!M136,"–")</f>
        <v>1700</v>
      </c>
      <c r="J136" s="8" t="n">
        <f aca="false">IFERROR(Rohdaten!C136*100/Rohdaten!N136,"–")</f>
        <v>1700</v>
      </c>
      <c r="K136" s="9" t="n">
        <f aca="false">IFERROR(Rohdaten!C136*100/Rohdaten!O136,"–")</f>
        <v>850</v>
      </c>
      <c r="L136" s="8" t="n">
        <f aca="false">IFERROR(Rohdaten!C136*100/Rohdaten!P136,"–")</f>
        <v>4250</v>
      </c>
      <c r="M136" s="8" t="n">
        <f aca="false">IFERROR(Rohdaten!C136*100/Rohdaten!Q136,"–")</f>
        <v>944.444444444445</v>
      </c>
      <c r="N136" s="8" t="n">
        <f aca="false">IFERROR(Rohdaten!C136*100/Rohdaten!R136,"–")</f>
        <v>1700</v>
      </c>
      <c r="O136" s="8" t="n">
        <f aca="false">IFERROR(Rohdaten!C136*100/Rohdaten!S136,"–")</f>
        <v>4250</v>
      </c>
      <c r="P136" s="9" t="n">
        <f aca="false">IFERROR(Rohdaten!C136*100/Rohdaten!T136,"–")</f>
        <v>34</v>
      </c>
      <c r="Q136" s="9" t="n">
        <f aca="false">IFERROR(Rohdaten!C136*100/Rohdaten!U136,"–")</f>
        <v>425</v>
      </c>
      <c r="R136" s="8" t="n">
        <f aca="false">IFERROR(Rohdaten!C136*100/Rohdaten!V136,"–")</f>
        <v>1.41666666666667</v>
      </c>
      <c r="S136" s="8" t="n">
        <f aca="false">IFERROR(Rohdaten!C136*100/Rohdaten!W136,"–")</f>
        <v>3400</v>
      </c>
      <c r="T136" s="8" t="n">
        <f aca="false">IFERROR(Rohdaten!C136*100/Rohdaten!X136,"–")</f>
        <v>14.1666666666667</v>
      </c>
      <c r="U136" s="8" t="n">
        <f aca="false">IFERROR(Rohdaten!C136*100/Rohdaten!Y136,"–")</f>
        <v>425</v>
      </c>
      <c r="V136" s="8" t="n">
        <f aca="false">IFERROR(Rohdaten!C136*100/Rohdaten!Z136,"–")</f>
        <v>1.13333333333333</v>
      </c>
    </row>
    <row r="137" customFormat="false" ht="15" hidden="false" customHeight="true" outlineLevel="0" collapsed="false">
      <c r="A137" s="4" t="str">
        <f aca="false">Rohdaten!A137</f>
        <v>Milch, fettarm</v>
      </c>
      <c r="B137" s="8" t="n">
        <f aca="false">Rohdaten!C137</f>
        <v>1.2</v>
      </c>
      <c r="C137" s="8" t="n">
        <f aca="false">IFERROR(Rohdaten!C137*100/Rohdaten!G137,"–")</f>
        <v>2.60869565217391</v>
      </c>
      <c r="D137" s="8" t="n">
        <f aca="false">IFERROR(Rohdaten!C137*100/(Rohdaten!H137*9),"–")</f>
        <v>8.88888888888889</v>
      </c>
      <c r="E137" s="8" t="n">
        <f aca="false">IFERROR(Rohdaten!C137*100/(Rohdaten!I137*4),"–")</f>
        <v>8.82352941176471</v>
      </c>
      <c r="F137" s="8" t="n">
        <f aca="false">IFERROR(Rohdaten!C137*100/(Rohdaten!J137*4),"–")</f>
        <v>6.12244897959184</v>
      </c>
      <c r="G137" s="9" t="n">
        <f aca="false">IFERROR(Rohdaten!C137*100/Rohdaten!K137,"–")</f>
        <v>8</v>
      </c>
      <c r="H137" s="8" t="n">
        <f aca="false">IFERROR(Rohdaten!C137*100/Rohdaten!L137,"–")</f>
        <v>120</v>
      </c>
      <c r="I137" s="9" t="n">
        <f aca="false">IFERROR(Rohdaten!C137*100/Rohdaten!M137,"–")</f>
        <v>1200</v>
      </c>
      <c r="J137" s="8" t="n">
        <f aca="false">IFERROR(Rohdaten!C137*100/Rohdaten!N137,"–")</f>
        <v>4000</v>
      </c>
      <c r="K137" s="9" t="n">
        <f aca="false">IFERROR(Rohdaten!C137*100/Rohdaten!O137,"–")</f>
        <v>1200</v>
      </c>
      <c r="L137" s="8" t="n">
        <f aca="false">IFERROR(Rohdaten!C137*100/Rohdaten!P137,"–")</f>
        <v>3000</v>
      </c>
      <c r="M137" s="8" t="n">
        <f aca="false">IFERROR(Rohdaten!C137*100/Rohdaten!Q137,"–")</f>
        <v>666.666666666667</v>
      </c>
      <c r="N137" s="8" t="n">
        <f aca="false">IFERROR(Rohdaten!C137*100/Rohdaten!R137,"–")</f>
        <v>1200</v>
      </c>
      <c r="O137" s="8" t="n">
        <f aca="false">IFERROR(Rohdaten!C137*100/Rohdaten!S137,"–")</f>
        <v>3000</v>
      </c>
      <c r="P137" s="9" t="n">
        <f aca="false">IFERROR(Rohdaten!C137*100/Rohdaten!T137,"–")</f>
        <v>24</v>
      </c>
      <c r="Q137" s="9" t="n">
        <f aca="false">IFERROR(Rohdaten!C137*100/Rohdaten!U137,"–")</f>
        <v>300</v>
      </c>
      <c r="R137" s="8" t="n">
        <f aca="false">IFERROR(Rohdaten!C137*100/Rohdaten!V137,"–")</f>
        <v>0.983606557377049</v>
      </c>
      <c r="S137" s="8" t="n">
        <f aca="false">IFERROR(Rohdaten!C137*100/Rohdaten!W137,"–")</f>
        <v>2400</v>
      </c>
      <c r="T137" s="8" t="n">
        <f aca="false">IFERROR(Rohdaten!C137*100/Rohdaten!X137,"–")</f>
        <v>10</v>
      </c>
      <c r="U137" s="8" t="n">
        <f aca="false">IFERROR(Rohdaten!C137*100/Rohdaten!Y137,"–")</f>
        <v>300</v>
      </c>
      <c r="V137" s="8" t="n">
        <f aca="false">IFERROR(Rohdaten!C137*100/Rohdaten!Z137,"–")</f>
        <v>0.8</v>
      </c>
    </row>
    <row r="138" customFormat="false" ht="15" hidden="false" customHeight="true" outlineLevel="0" collapsed="false">
      <c r="A138" s="4" t="str">
        <f aca="false">Rohdaten!A138</f>
        <v>Milch, H-Milch Vollmilch</v>
      </c>
      <c r="B138" s="8" t="n">
        <f aca="false">Rohdaten!C138</f>
        <v>1.3</v>
      </c>
      <c r="C138" s="8" t="n">
        <f aca="false">IFERROR(Rohdaten!C138*100/Rohdaten!G138,"–")</f>
        <v>2.03125</v>
      </c>
      <c r="D138" s="8" t="n">
        <f aca="false">IFERROR(Rohdaten!C138*100/(Rohdaten!H138*9),"–")</f>
        <v>4.12698412698413</v>
      </c>
      <c r="E138" s="8" t="n">
        <f aca="false">IFERROR(Rohdaten!C138*100/(Rohdaten!I138*4),"–")</f>
        <v>9.84848484848485</v>
      </c>
      <c r="F138" s="8" t="n">
        <f aca="false">IFERROR(Rohdaten!C138*100/(Rohdaten!J138*4),"–")</f>
        <v>6.77083333333333</v>
      </c>
      <c r="G138" s="9" t="n">
        <f aca="false">IFERROR(Rohdaten!C138*100/Rohdaten!K138,"–")</f>
        <v>4.64285714285714</v>
      </c>
      <c r="H138" s="8" t="n">
        <f aca="false">IFERROR(Rohdaten!C138*100/Rohdaten!L138,"–")</f>
        <v>130</v>
      </c>
      <c r="I138" s="9" t="n">
        <f aca="false">IFERROR(Rohdaten!C138*100/Rohdaten!M138,"–")</f>
        <v>1300</v>
      </c>
      <c r="J138" s="8" t="n">
        <f aca="false">IFERROR(Rohdaten!C138*100/Rohdaten!N138,"–")</f>
        <v>1300</v>
      </c>
      <c r="K138" s="9" t="n">
        <f aca="false">IFERROR(Rohdaten!C138*100/Rohdaten!O138,"–")</f>
        <v>650</v>
      </c>
      <c r="L138" s="8" t="n">
        <f aca="false">IFERROR(Rohdaten!C138*100/Rohdaten!P138,"–")</f>
        <v>3250</v>
      </c>
      <c r="M138" s="8" t="n">
        <f aca="false">IFERROR(Rohdaten!C138*100/Rohdaten!Q138,"–")</f>
        <v>722.222222222222</v>
      </c>
      <c r="N138" s="8" t="n">
        <f aca="false">IFERROR(Rohdaten!C138*100/Rohdaten!R138,"–")</f>
        <v>1300</v>
      </c>
      <c r="O138" s="8" t="n">
        <f aca="false">IFERROR(Rohdaten!C138*100/Rohdaten!S138,"–")</f>
        <v>3250</v>
      </c>
      <c r="P138" s="9" t="n">
        <f aca="false">IFERROR(Rohdaten!C138*100/Rohdaten!T138,"–")</f>
        <v>26</v>
      </c>
      <c r="Q138" s="9" t="n">
        <f aca="false">IFERROR(Rohdaten!C138*100/Rohdaten!U138,"–")</f>
        <v>325</v>
      </c>
      <c r="R138" s="8" t="n">
        <f aca="false">IFERROR(Rohdaten!C138*100/Rohdaten!V138,"–")</f>
        <v>1.08333333333333</v>
      </c>
      <c r="S138" s="8" t="n">
        <f aca="false">IFERROR(Rohdaten!C138*100/Rohdaten!W138,"–")</f>
        <v>2600</v>
      </c>
      <c r="T138" s="8" t="n">
        <f aca="false">IFERROR(Rohdaten!C138*100/Rohdaten!X138,"–")</f>
        <v>10.8333333333333</v>
      </c>
      <c r="U138" s="8" t="n">
        <f aca="false">IFERROR(Rohdaten!C138*100/Rohdaten!Y138,"–")</f>
        <v>325</v>
      </c>
      <c r="V138" s="8" t="n">
        <f aca="false">IFERROR(Rohdaten!C138*100/Rohdaten!Z138,"–")</f>
        <v>0.866666666666667</v>
      </c>
    </row>
    <row r="139" customFormat="false" ht="15" hidden="false" customHeight="true" outlineLevel="0" collapsed="false">
      <c r="A139" s="4" t="str">
        <f aca="false">Rohdaten!A139</f>
        <v>Milch, H-Milch fettarm</v>
      </c>
      <c r="B139" s="8" t="n">
        <f aca="false">Rohdaten!C139</f>
        <v>1.1</v>
      </c>
      <c r="C139" s="8" t="n">
        <f aca="false">IFERROR(Rohdaten!C139*100/Rohdaten!G139,"–")</f>
        <v>2.39130434782609</v>
      </c>
      <c r="D139" s="8" t="n">
        <f aca="false">IFERROR(Rohdaten!C139*100/(Rohdaten!H139*9),"–")</f>
        <v>8.14814814814815</v>
      </c>
      <c r="E139" s="8" t="n">
        <f aca="false">IFERROR(Rohdaten!C139*100/(Rohdaten!I139*4),"–")</f>
        <v>8.08823529411765</v>
      </c>
      <c r="F139" s="8" t="n">
        <f aca="false">IFERROR(Rohdaten!C139*100/(Rohdaten!J139*4),"–")</f>
        <v>5.61224489795918</v>
      </c>
      <c r="G139" s="9" t="n">
        <f aca="false">IFERROR(Rohdaten!C139*100/Rohdaten!K139,"–")</f>
        <v>7.33333333333333</v>
      </c>
      <c r="H139" s="8" t="n">
        <f aca="false">IFERROR(Rohdaten!C139*100/Rohdaten!L139,"–")</f>
        <v>110</v>
      </c>
      <c r="I139" s="9" t="n">
        <f aca="false">IFERROR(Rohdaten!C139*100/Rohdaten!M139,"–")</f>
        <v>1100</v>
      </c>
      <c r="J139" s="8" t="n">
        <f aca="false">IFERROR(Rohdaten!C139*100/Rohdaten!N139,"–")</f>
        <v>3666.66666666667</v>
      </c>
      <c r="K139" s="9" t="n">
        <f aca="false">IFERROR(Rohdaten!C139*100/Rohdaten!O139,"–")</f>
        <v>1100</v>
      </c>
      <c r="L139" s="8" t="n">
        <f aca="false">IFERROR(Rohdaten!C139*100/Rohdaten!P139,"–")</f>
        <v>2750</v>
      </c>
      <c r="M139" s="8" t="n">
        <f aca="false">IFERROR(Rohdaten!C139*100/Rohdaten!Q139,"–")</f>
        <v>611.111111111111</v>
      </c>
      <c r="N139" s="8" t="n">
        <f aca="false">IFERROR(Rohdaten!C139*100/Rohdaten!R139,"–")</f>
        <v>1100</v>
      </c>
      <c r="O139" s="8" t="n">
        <f aca="false">IFERROR(Rohdaten!C139*100/Rohdaten!S139,"–")</f>
        <v>2750</v>
      </c>
      <c r="P139" s="9" t="n">
        <f aca="false">IFERROR(Rohdaten!C139*100/Rohdaten!T139,"–")</f>
        <v>22</v>
      </c>
      <c r="Q139" s="9" t="n">
        <f aca="false">IFERROR(Rohdaten!C139*100/Rohdaten!U139,"–")</f>
        <v>275</v>
      </c>
      <c r="R139" s="8" t="n">
        <f aca="false">IFERROR(Rohdaten!C139*100/Rohdaten!V139,"–")</f>
        <v>0.901639344262295</v>
      </c>
      <c r="S139" s="8" t="n">
        <f aca="false">IFERROR(Rohdaten!C139*100/Rohdaten!W139,"–")</f>
        <v>2200</v>
      </c>
      <c r="T139" s="8" t="n">
        <f aca="false">IFERROR(Rohdaten!C139*100/Rohdaten!X139,"–")</f>
        <v>9.16666666666667</v>
      </c>
      <c r="U139" s="8" t="n">
        <f aca="false">IFERROR(Rohdaten!C139*100/Rohdaten!Y139,"–")</f>
        <v>275</v>
      </c>
      <c r="V139" s="8" t="n">
        <f aca="false">IFERROR(Rohdaten!C139*100/Rohdaten!Z139,"–")</f>
        <v>0.733333333333333</v>
      </c>
    </row>
    <row r="140" customFormat="false" ht="15" hidden="false" customHeight="true" outlineLevel="0" collapsed="false">
      <c r="A140" s="4" t="str">
        <f aca="false">Rohdaten!A140</f>
        <v>Käse, Durchschnitt</v>
      </c>
      <c r="B140" s="8" t="n">
        <f aca="false">Rohdaten!C140</f>
        <v>5.7</v>
      </c>
      <c r="C140" s="8" t="n">
        <f aca="false">IFERROR(Rohdaten!C140*100/Rohdaten!G140,"–")</f>
        <v>1.62857142857143</v>
      </c>
      <c r="D140" s="8" t="n">
        <f aca="false">IFERROR(Rohdaten!C140*100/(Rohdaten!H140*9),"–")</f>
        <v>2.26190476190476</v>
      </c>
      <c r="E140" s="8" t="n">
        <f aca="false">IFERROR(Rohdaten!C140*100/(Rohdaten!I140*4),"–")</f>
        <v>5.7</v>
      </c>
      <c r="F140" s="8" t="n">
        <f aca="false">IFERROR(Rohdaten!C140*100/(Rohdaten!J140*4),"–")</f>
        <v>71.25</v>
      </c>
      <c r="G140" s="9" t="n">
        <f aca="false">IFERROR(Rohdaten!C140*100/Rohdaten!K140,"–")</f>
        <v>2.85</v>
      </c>
      <c r="H140" s="8" t="str">
        <f aca="false">IFERROR(Rohdaten!C140*100/Rohdaten!L140,"–")</f>
        <v>–</v>
      </c>
      <c r="I140" s="9" t="n">
        <f aca="false">IFERROR(Rohdaten!C140*100/Rohdaten!M140,"–")</f>
        <v>1140</v>
      </c>
      <c r="J140" s="8" t="n">
        <f aca="false">IFERROR(Rohdaten!C140*100/Rohdaten!N140,"–")</f>
        <v>1140</v>
      </c>
      <c r="K140" s="9" t="n">
        <f aca="false">IFERROR(Rohdaten!C140*100/Rohdaten!O140,"–")</f>
        <v>285</v>
      </c>
      <c r="L140" s="8" t="n">
        <f aca="false">IFERROR(Rohdaten!C140*100/Rohdaten!P140,"–")</f>
        <v>19000</v>
      </c>
      <c r="M140" s="8" t="n">
        <f aca="false">IFERROR(Rohdaten!C140*100/Rohdaten!Q140,"–")</f>
        <v>1628.57142857143</v>
      </c>
      <c r="N140" s="8" t="n">
        <f aca="false">IFERROR(Rohdaten!C140*100/Rohdaten!R140,"–")</f>
        <v>5700</v>
      </c>
      <c r="O140" s="8" t="n">
        <f aca="false">IFERROR(Rohdaten!C140*100/Rohdaten!S140,"–")</f>
        <v>7125</v>
      </c>
      <c r="P140" s="9" t="n">
        <f aca="false">IFERROR(Rohdaten!C140*100/Rohdaten!T140,"–")</f>
        <v>28.5</v>
      </c>
      <c r="Q140" s="9" t="n">
        <f aca="false">IFERROR(Rohdaten!C140*100/Rohdaten!U140,"–")</f>
        <v>380</v>
      </c>
      <c r="R140" s="8" t="n">
        <f aca="false">IFERROR(Rohdaten!C140*100/Rohdaten!V140,"–")</f>
        <v>0.76</v>
      </c>
      <c r="S140" s="8" t="n">
        <f aca="false">IFERROR(Rohdaten!C140*100/Rohdaten!W140,"–")</f>
        <v>1900</v>
      </c>
      <c r="T140" s="8" t="n">
        <f aca="false">IFERROR(Rohdaten!C140*100/Rohdaten!X140,"–")</f>
        <v>19</v>
      </c>
      <c r="U140" s="8" t="n">
        <f aca="false">IFERROR(Rohdaten!C140*100/Rohdaten!Y140,"–")</f>
        <v>162.857142857143</v>
      </c>
      <c r="V140" s="8" t="n">
        <f aca="false">IFERROR(Rohdaten!C140*100/Rohdaten!Z140,"–")</f>
        <v>5.7</v>
      </c>
    </row>
    <row r="141" customFormat="false" ht="15" hidden="false" customHeight="true" outlineLevel="0" collapsed="false">
      <c r="A141" s="4" t="str">
        <f aca="false">Rohdaten!A141</f>
        <v>Käse (Bio), Durchschnitt</v>
      </c>
      <c r="B141" s="8" t="n">
        <f aca="false">Rohdaten!C141</f>
        <v>7.2</v>
      </c>
      <c r="C141" s="8" t="n">
        <f aca="false">IFERROR(Rohdaten!C141*100/Rohdaten!G141,"–")</f>
        <v>2.05714285714286</v>
      </c>
      <c r="D141" s="8" t="n">
        <f aca="false">IFERROR(Rohdaten!C141*100/(Rohdaten!H141*9),"–")</f>
        <v>2.85714285714286</v>
      </c>
      <c r="E141" s="8" t="n">
        <f aca="false">IFERROR(Rohdaten!C141*100/(Rohdaten!I141*4),"–")</f>
        <v>7.2</v>
      </c>
      <c r="F141" s="8" t="n">
        <f aca="false">IFERROR(Rohdaten!C141*100/(Rohdaten!J141*4),"–")</f>
        <v>90</v>
      </c>
      <c r="G141" s="9" t="n">
        <f aca="false">IFERROR(Rohdaten!C141*100/Rohdaten!K141,"–")</f>
        <v>3.6</v>
      </c>
      <c r="H141" s="8" t="str">
        <f aca="false">IFERROR(Rohdaten!C141*100/Rohdaten!L141,"–")</f>
        <v>–</v>
      </c>
      <c r="I141" s="9" t="n">
        <f aca="false">IFERROR(Rohdaten!C141*100/Rohdaten!M141,"–")</f>
        <v>1440</v>
      </c>
      <c r="J141" s="8" t="n">
        <f aca="false">IFERROR(Rohdaten!C141*100/Rohdaten!N141,"–")</f>
        <v>1440</v>
      </c>
      <c r="K141" s="9" t="n">
        <f aca="false">IFERROR(Rohdaten!C141*100/Rohdaten!O141,"–")</f>
        <v>360</v>
      </c>
      <c r="L141" s="8" t="n">
        <f aca="false">IFERROR(Rohdaten!C141*100/Rohdaten!P141,"–")</f>
        <v>24000</v>
      </c>
      <c r="M141" s="8" t="n">
        <f aca="false">IFERROR(Rohdaten!C141*100/Rohdaten!Q141,"–")</f>
        <v>2057.14285714286</v>
      </c>
      <c r="N141" s="8" t="n">
        <f aca="false">IFERROR(Rohdaten!C141*100/Rohdaten!R141,"–")</f>
        <v>7200</v>
      </c>
      <c r="O141" s="8" t="n">
        <f aca="false">IFERROR(Rohdaten!C141*100/Rohdaten!S141,"–")</f>
        <v>9000</v>
      </c>
      <c r="P141" s="9" t="n">
        <f aca="false">IFERROR(Rohdaten!C141*100/Rohdaten!T141,"–")</f>
        <v>36</v>
      </c>
      <c r="Q141" s="9" t="n">
        <f aca="false">IFERROR(Rohdaten!C141*100/Rohdaten!U141,"–")</f>
        <v>480</v>
      </c>
      <c r="R141" s="8" t="n">
        <f aca="false">IFERROR(Rohdaten!C141*100/Rohdaten!V141,"–")</f>
        <v>0.96</v>
      </c>
      <c r="S141" s="8" t="n">
        <f aca="false">IFERROR(Rohdaten!C141*100/Rohdaten!W141,"–")</f>
        <v>2400</v>
      </c>
      <c r="T141" s="8" t="n">
        <f aca="false">IFERROR(Rohdaten!C141*100/Rohdaten!X141,"–")</f>
        <v>24</v>
      </c>
      <c r="U141" s="8" t="n">
        <f aca="false">IFERROR(Rohdaten!C141*100/Rohdaten!Y141,"–")</f>
        <v>205.714285714286</v>
      </c>
      <c r="V141" s="8" t="n">
        <f aca="false">IFERROR(Rohdaten!C141*100/Rohdaten!Z141,"–")</f>
        <v>7.2</v>
      </c>
    </row>
    <row r="142" customFormat="false" ht="15" hidden="false" customHeight="true" outlineLevel="0" collapsed="false">
      <c r="A142" s="4" t="str">
        <f aca="false">Rohdaten!A142</f>
        <v>Käse, Feta</v>
      </c>
      <c r="B142" s="8" t="n">
        <f aca="false">Rohdaten!C142</f>
        <v>7</v>
      </c>
      <c r="C142" s="8" t="n">
        <f aca="false">IFERROR(Rohdaten!C142*100/Rohdaten!G142,"–")</f>
        <v>2.65151515151515</v>
      </c>
      <c r="D142" s="8" t="n">
        <f aca="false">IFERROR(Rohdaten!C142*100/(Rohdaten!H142*9),"–")</f>
        <v>3.7037037037037</v>
      </c>
      <c r="E142" s="8" t="n">
        <f aca="false">IFERROR(Rohdaten!C142*100/(Rohdaten!I142*4),"–")</f>
        <v>12.5</v>
      </c>
      <c r="F142" s="8" t="n">
        <f aca="false">IFERROR(Rohdaten!C142*100/(Rohdaten!J142*4),"–")</f>
        <v>43.75</v>
      </c>
      <c r="G142" s="9" t="n">
        <f aca="false">IFERROR(Rohdaten!C142*100/Rohdaten!K142,"–")</f>
        <v>3.88888888888889</v>
      </c>
      <c r="H142" s="8" t="str">
        <f aca="false">IFERROR(Rohdaten!C142*100/Rohdaten!L142,"–")</f>
        <v>–</v>
      </c>
      <c r="I142" s="9" t="n">
        <f aca="false">IFERROR(Rohdaten!C142*100/Rohdaten!M142,"–")</f>
        <v>3500</v>
      </c>
      <c r="J142" s="8" t="n">
        <f aca="false">IFERROR(Rohdaten!C142*100/Rohdaten!N142,"–")</f>
        <v>1750</v>
      </c>
      <c r="K142" s="9" t="n">
        <f aca="false">IFERROR(Rohdaten!C142*100/Rohdaten!O142,"–")</f>
        <v>350</v>
      </c>
      <c r="L142" s="8" t="n">
        <f aca="false">IFERROR(Rohdaten!C142*100/Rohdaten!P142,"–")</f>
        <v>23333.3333333333</v>
      </c>
      <c r="M142" s="8" t="n">
        <f aca="false">IFERROR(Rohdaten!C142*100/Rohdaten!Q142,"–")</f>
        <v>2333.33333333333</v>
      </c>
      <c r="N142" s="8" t="n">
        <f aca="false">IFERROR(Rohdaten!C142*100/Rohdaten!R142,"–")</f>
        <v>2333.33333333333</v>
      </c>
      <c r="O142" s="8" t="n">
        <f aca="false">IFERROR(Rohdaten!C142*100/Rohdaten!S142,"–")</f>
        <v>4666.66666666667</v>
      </c>
      <c r="P142" s="9" t="n">
        <f aca="false">IFERROR(Rohdaten!C142*100/Rohdaten!T142,"–")</f>
        <v>21.875</v>
      </c>
      <c r="Q142" s="9" t="n">
        <f aca="false">IFERROR(Rohdaten!C142*100/Rohdaten!U142,"–")</f>
        <v>538.461538461539</v>
      </c>
      <c r="R142" s="8" t="n">
        <f aca="false">IFERROR(Rohdaten!C142*100/Rohdaten!V142,"–")</f>
        <v>1.42857142857143</v>
      </c>
      <c r="S142" s="8" t="n">
        <f aca="false">IFERROR(Rohdaten!C142*100/Rohdaten!W142,"–")</f>
        <v>1000</v>
      </c>
      <c r="T142" s="8" t="n">
        <f aca="false">IFERROR(Rohdaten!C142*100/Rohdaten!X142,"–")</f>
        <v>35</v>
      </c>
      <c r="U142" s="8" t="n">
        <f aca="false">IFERROR(Rohdaten!C142*100/Rohdaten!Y142,"–")</f>
        <v>241.379310344828</v>
      </c>
      <c r="V142" s="8" t="n">
        <f aca="false">IFERROR(Rohdaten!C142*100/Rohdaten!Z142,"–")</f>
        <v>7.36842105263158</v>
      </c>
    </row>
    <row r="143" customFormat="false" ht="15" hidden="false" customHeight="true" outlineLevel="0" collapsed="false">
      <c r="A143" s="4" t="str">
        <f aca="false">Rohdaten!A143</f>
        <v>Käse, Hartkäse (Parmesan-Art)</v>
      </c>
      <c r="B143" s="8" t="n">
        <f aca="false">Rohdaten!C143</f>
        <v>6.3</v>
      </c>
      <c r="C143" s="8" t="n">
        <f aca="false">IFERROR(Rohdaten!C143*100/Rohdaten!G143,"–")</f>
        <v>1.575</v>
      </c>
      <c r="D143" s="8" t="n">
        <f aca="false">IFERROR(Rohdaten!C143*100/(Rohdaten!H143*9),"–")</f>
        <v>2.41379310344828</v>
      </c>
      <c r="E143" s="8" t="n">
        <f aca="false">IFERROR(Rohdaten!C143*100/(Rohdaten!I143*4),"–")</f>
        <v>4.375</v>
      </c>
      <c r="F143" s="8" t="n">
        <f aca="false">IFERROR(Rohdaten!C143*100/(Rohdaten!J143*4),"–")</f>
        <v>52.5</v>
      </c>
      <c r="G143" s="9" t="n">
        <f aca="false">IFERROR(Rohdaten!C143*100/Rohdaten!K143,"–")</f>
        <v>3.5</v>
      </c>
      <c r="H143" s="8" t="str">
        <f aca="false">IFERROR(Rohdaten!C143*100/Rohdaten!L143,"–")</f>
        <v>–</v>
      </c>
      <c r="I143" s="9" t="n">
        <f aca="false">IFERROR(Rohdaten!C143*100/Rohdaten!M143,"–")</f>
        <v>1260</v>
      </c>
      <c r="J143" s="8" t="n">
        <f aca="false">IFERROR(Rohdaten!C143*100/Rohdaten!N143,"–")</f>
        <v>1575</v>
      </c>
      <c r="K143" s="9" t="n">
        <f aca="false">IFERROR(Rohdaten!C143*100/Rohdaten!O143,"–")</f>
        <v>315</v>
      </c>
      <c r="L143" s="8" t="n">
        <f aca="false">IFERROR(Rohdaten!C143*100/Rohdaten!P143,"–")</f>
        <v>21000</v>
      </c>
      <c r="M143" s="8" t="n">
        <f aca="false">IFERROR(Rohdaten!C143*100/Rohdaten!Q143,"–")</f>
        <v>2100</v>
      </c>
      <c r="N143" s="8" t="n">
        <f aca="false">IFERROR(Rohdaten!C143*100/Rohdaten!R143,"–")</f>
        <v>3150</v>
      </c>
      <c r="O143" s="8" t="n">
        <f aca="false">IFERROR(Rohdaten!C143*100/Rohdaten!S143,"–")</f>
        <v>6300</v>
      </c>
      <c r="P143" s="9" t="n">
        <f aca="false">IFERROR(Rohdaten!C143*100/Rohdaten!T143,"–")</f>
        <v>90</v>
      </c>
      <c r="Q143" s="9" t="n">
        <f aca="false">IFERROR(Rohdaten!C143*100/Rohdaten!U143,"–")</f>
        <v>525</v>
      </c>
      <c r="R143" s="8" t="n">
        <f aca="false">IFERROR(Rohdaten!C143*100/Rohdaten!V143,"–")</f>
        <v>0.572727272727273</v>
      </c>
      <c r="S143" s="8" t="n">
        <f aca="false">IFERROR(Rohdaten!C143*100/Rohdaten!W143,"–")</f>
        <v>787.5</v>
      </c>
      <c r="T143" s="8" t="n">
        <f aca="false">IFERROR(Rohdaten!C143*100/Rohdaten!X143,"–")</f>
        <v>15.75</v>
      </c>
      <c r="U143" s="8" t="n">
        <f aca="false">IFERROR(Rohdaten!C143*100/Rohdaten!Y143,"–")</f>
        <v>180</v>
      </c>
      <c r="V143" s="8" t="n">
        <f aca="false">IFERROR(Rohdaten!C143*100/Rohdaten!Z143,"–")</f>
        <v>7</v>
      </c>
    </row>
    <row r="144" customFormat="false" ht="15" hidden="false" customHeight="true" outlineLevel="0" collapsed="false">
      <c r="A144" s="4" t="str">
        <f aca="false">Rohdaten!A144</f>
        <v>Käse, Hartkäse (Emmentaler-Art)</v>
      </c>
      <c r="B144" s="8" t="n">
        <f aca="false">Rohdaten!C144</f>
        <v>6</v>
      </c>
      <c r="C144" s="8" t="n">
        <f aca="false">IFERROR(Rohdaten!C144*100/Rohdaten!G144,"–")</f>
        <v>1.57894736842105</v>
      </c>
      <c r="D144" s="8" t="n">
        <f aca="false">IFERROR(Rohdaten!C144*100/(Rohdaten!H144*9),"–")</f>
        <v>2.22222222222222</v>
      </c>
      <c r="E144" s="8" t="n">
        <f aca="false">IFERROR(Rohdaten!C144*100/(Rohdaten!I144*4),"–")</f>
        <v>5.35714285714286</v>
      </c>
      <c r="F144" s="8" t="n">
        <f aca="false">IFERROR(Rohdaten!C144*100/(Rohdaten!J144*4),"–")</f>
        <v>75</v>
      </c>
      <c r="G144" s="9" t="n">
        <f aca="false">IFERROR(Rohdaten!C144*100/Rohdaten!K144,"–")</f>
        <v>2.72727272727273</v>
      </c>
      <c r="H144" s="8" t="str">
        <f aca="false">IFERROR(Rohdaten!C144*100/Rohdaten!L144,"–")</f>
        <v>–</v>
      </c>
      <c r="I144" s="9" t="n">
        <f aca="false">IFERROR(Rohdaten!C144*100/Rohdaten!M144,"–")</f>
        <v>600</v>
      </c>
      <c r="J144" s="8" t="n">
        <f aca="false">IFERROR(Rohdaten!C144*100/Rohdaten!N144,"–")</f>
        <v>1200</v>
      </c>
      <c r="K144" s="9" t="n">
        <f aca="false">IFERROR(Rohdaten!C144*100/Rohdaten!O144,"–")</f>
        <v>300</v>
      </c>
      <c r="L144" s="8" t="n">
        <f aca="false">IFERROR(Rohdaten!C144*100/Rohdaten!P144,"–")</f>
        <v>20000</v>
      </c>
      <c r="M144" s="8" t="n">
        <f aca="false">IFERROR(Rohdaten!C144*100/Rohdaten!Q144,"–")</f>
        <v>1714.28571428571</v>
      </c>
      <c r="N144" s="8" t="n">
        <f aca="false">IFERROR(Rohdaten!C144*100/Rohdaten!R144,"–")</f>
        <v>6000</v>
      </c>
      <c r="O144" s="8" t="n">
        <f aca="false">IFERROR(Rohdaten!C144*100/Rohdaten!S144,"–")</f>
        <v>7500</v>
      </c>
      <c r="P144" s="9" t="n">
        <f aca="false">IFERROR(Rohdaten!C144*100/Rohdaten!T144,"–")</f>
        <v>40</v>
      </c>
      <c r="Q144" s="9" t="n">
        <f aca="false">IFERROR(Rohdaten!C144*100/Rohdaten!U144,"–")</f>
        <v>250</v>
      </c>
      <c r="R144" s="8" t="n">
        <f aca="false">IFERROR(Rohdaten!C144*100/Rohdaten!V144,"–")</f>
        <v>0.618556701030928</v>
      </c>
      <c r="S144" s="8" t="n">
        <f aca="false">IFERROR(Rohdaten!C144*100/Rohdaten!W144,"–")</f>
        <v>2000</v>
      </c>
      <c r="T144" s="8" t="n">
        <f aca="false">IFERROR(Rohdaten!C144*100/Rohdaten!X144,"–")</f>
        <v>17.1428571428571</v>
      </c>
      <c r="U144" s="8" t="n">
        <f aca="false">IFERROR(Rohdaten!C144*100/Rohdaten!Y144,"–")</f>
        <v>142.857142857143</v>
      </c>
      <c r="V144" s="8" t="n">
        <f aca="false">IFERROR(Rohdaten!C144*100/Rohdaten!Z144,"–")</f>
        <v>6</v>
      </c>
    </row>
    <row r="145" customFormat="false" ht="15" hidden="false" customHeight="true" outlineLevel="0" collapsed="false">
      <c r="A145" s="4" t="str">
        <f aca="false">Rohdaten!A145</f>
        <v>Käse, Frischkäse</v>
      </c>
      <c r="B145" s="8" t="n">
        <f aca="false">Rohdaten!C145</f>
        <v>5.5</v>
      </c>
      <c r="C145" s="8" t="n">
        <f aca="false">IFERROR(Rohdaten!C145*100/Rohdaten!G145,"–")</f>
        <v>2.2</v>
      </c>
      <c r="D145" s="8" t="n">
        <f aca="false">IFERROR(Rohdaten!C145*100/(Rohdaten!H145*9),"–")</f>
        <v>2.65700483091787</v>
      </c>
      <c r="E145" s="8" t="n">
        <f aca="false">IFERROR(Rohdaten!C145*100/(Rohdaten!I145*4),"–")</f>
        <v>19.6428571428571</v>
      </c>
      <c r="F145" s="8" t="n">
        <f aca="false">IFERROR(Rohdaten!C145*100/(Rohdaten!J145*4),"–")</f>
        <v>39.2857142857143</v>
      </c>
      <c r="G145" s="9" t="n">
        <f aca="false">IFERROR(Rohdaten!C145*100/Rohdaten!K145,"–")</f>
        <v>3.05555555555556</v>
      </c>
      <c r="H145" s="8" t="str">
        <f aca="false">IFERROR(Rohdaten!C145*100/Rohdaten!L145,"–")</f>
        <v>–</v>
      </c>
      <c r="I145" s="9" t="n">
        <f aca="false">IFERROR(Rohdaten!C145*100/Rohdaten!M145,"–")</f>
        <v>1833.33333333333</v>
      </c>
      <c r="J145" s="8" t="n">
        <f aca="false">IFERROR(Rohdaten!C145*100/Rohdaten!N145,"–")</f>
        <v>1833.33333333333</v>
      </c>
      <c r="K145" s="9" t="n">
        <f aca="false">IFERROR(Rohdaten!C145*100/Rohdaten!O145,"–")</f>
        <v>275</v>
      </c>
      <c r="L145" s="8" t="n">
        <f aca="false">IFERROR(Rohdaten!C145*100/Rohdaten!P145,"–")</f>
        <v>27500</v>
      </c>
      <c r="M145" s="8" t="n">
        <f aca="false">IFERROR(Rohdaten!C145*100/Rohdaten!Q145,"–")</f>
        <v>2750</v>
      </c>
      <c r="N145" s="8" t="n">
        <f aca="false">IFERROR(Rohdaten!C145*100/Rohdaten!R145,"–")</f>
        <v>5500</v>
      </c>
      <c r="O145" s="8" t="n">
        <f aca="false">IFERROR(Rohdaten!C145*100/Rohdaten!S145,"–")</f>
        <v>11000</v>
      </c>
      <c r="P145" s="9" t="n">
        <f aca="false">IFERROR(Rohdaten!C145*100/Rohdaten!T145,"–")</f>
        <v>36.6666666666667</v>
      </c>
      <c r="Q145" s="9" t="n">
        <f aca="false">IFERROR(Rohdaten!C145*100/Rohdaten!U145,"–")</f>
        <v>1100</v>
      </c>
      <c r="R145" s="8" t="n">
        <f aca="false">IFERROR(Rohdaten!C145*100/Rohdaten!V145,"–")</f>
        <v>6.11111111111111</v>
      </c>
      <c r="S145" s="8" t="n">
        <f aca="false">IFERROR(Rohdaten!C145*100/Rohdaten!W145,"–")</f>
        <v>2750</v>
      </c>
      <c r="T145" s="8" t="n">
        <f aca="false">IFERROR(Rohdaten!C145*100/Rohdaten!X145,"–")</f>
        <v>68.75</v>
      </c>
      <c r="U145" s="8" t="n">
        <f aca="false">IFERROR(Rohdaten!C145*100/Rohdaten!Y145,"–")</f>
        <v>916.666666666667</v>
      </c>
      <c r="V145" s="8" t="n">
        <f aca="false">IFERROR(Rohdaten!C145*100/Rohdaten!Z145,"–")</f>
        <v>5.5</v>
      </c>
    </row>
    <row r="146" customFormat="false" ht="15" hidden="false" customHeight="true" outlineLevel="0" collapsed="false">
      <c r="A146" s="4" t="str">
        <f aca="false">Rohdaten!A146</f>
        <v>Käse (Bio), Frischkäse</v>
      </c>
      <c r="B146" s="8" t="n">
        <f aca="false">Rohdaten!C146</f>
        <v>6.9</v>
      </c>
      <c r="C146" s="8" t="n">
        <f aca="false">IFERROR(Rohdaten!C146*100/Rohdaten!G146,"–")</f>
        <v>2.76</v>
      </c>
      <c r="D146" s="8" t="n">
        <f aca="false">IFERROR(Rohdaten!C146*100/(Rohdaten!H146*9),"–")</f>
        <v>3.33333333333333</v>
      </c>
      <c r="E146" s="8" t="n">
        <f aca="false">IFERROR(Rohdaten!C146*100/(Rohdaten!I146*4),"–")</f>
        <v>24.6428571428571</v>
      </c>
      <c r="F146" s="8" t="n">
        <f aca="false">IFERROR(Rohdaten!C146*100/(Rohdaten!J146*4),"–")</f>
        <v>49.2857142857143</v>
      </c>
      <c r="G146" s="9" t="n">
        <f aca="false">IFERROR(Rohdaten!C146*100/Rohdaten!K146,"–")</f>
        <v>3.83333333333333</v>
      </c>
      <c r="H146" s="8" t="str">
        <f aca="false">IFERROR(Rohdaten!C146*100/Rohdaten!L146,"–")</f>
        <v>–</v>
      </c>
      <c r="I146" s="9" t="n">
        <f aca="false">IFERROR(Rohdaten!C146*100/Rohdaten!M146,"–")</f>
        <v>2300</v>
      </c>
      <c r="J146" s="8" t="n">
        <f aca="false">IFERROR(Rohdaten!C146*100/Rohdaten!N146,"–")</f>
        <v>2300</v>
      </c>
      <c r="K146" s="9" t="n">
        <f aca="false">IFERROR(Rohdaten!C146*100/Rohdaten!O146,"–")</f>
        <v>345</v>
      </c>
      <c r="L146" s="8" t="n">
        <f aca="false">IFERROR(Rohdaten!C146*100/Rohdaten!P146,"–")</f>
        <v>34500</v>
      </c>
      <c r="M146" s="8" t="n">
        <f aca="false">IFERROR(Rohdaten!C146*100/Rohdaten!Q146,"–")</f>
        <v>3450</v>
      </c>
      <c r="N146" s="8" t="n">
        <f aca="false">IFERROR(Rohdaten!C146*100/Rohdaten!R146,"–")</f>
        <v>6900</v>
      </c>
      <c r="O146" s="8" t="n">
        <f aca="false">IFERROR(Rohdaten!C146*100/Rohdaten!S146,"–")</f>
        <v>13800</v>
      </c>
      <c r="P146" s="9" t="n">
        <f aca="false">IFERROR(Rohdaten!C146*100/Rohdaten!T146,"–")</f>
        <v>46</v>
      </c>
      <c r="Q146" s="9" t="n">
        <f aca="false">IFERROR(Rohdaten!C146*100/Rohdaten!U146,"–")</f>
        <v>1380</v>
      </c>
      <c r="R146" s="8" t="n">
        <f aca="false">IFERROR(Rohdaten!C146*100/Rohdaten!V146,"–")</f>
        <v>7.66666666666667</v>
      </c>
      <c r="S146" s="8" t="n">
        <f aca="false">IFERROR(Rohdaten!C146*100/Rohdaten!W146,"–")</f>
        <v>3450</v>
      </c>
      <c r="T146" s="8" t="n">
        <f aca="false">IFERROR(Rohdaten!C146*100/Rohdaten!X146,"–")</f>
        <v>86.25</v>
      </c>
      <c r="U146" s="8" t="n">
        <f aca="false">IFERROR(Rohdaten!C146*100/Rohdaten!Y146,"–")</f>
        <v>1150</v>
      </c>
      <c r="V146" s="8" t="n">
        <f aca="false">IFERROR(Rohdaten!C146*100/Rohdaten!Z146,"–")</f>
        <v>6.9</v>
      </c>
    </row>
    <row r="147" customFormat="false" ht="15" hidden="false" customHeight="true" outlineLevel="0" collapsed="false">
      <c r="A147" s="4" t="str">
        <f aca="false">Rohdaten!A147</f>
        <v>Joghurt, natur</v>
      </c>
      <c r="B147" s="8" t="n">
        <f aca="false">Rohdaten!C147</f>
        <v>1.7</v>
      </c>
      <c r="C147" s="8" t="n">
        <f aca="false">IFERROR(Rohdaten!C147*100/Rohdaten!G147,"–")</f>
        <v>2.78688524590164</v>
      </c>
      <c r="D147" s="8" t="n">
        <f aca="false">IFERROR(Rohdaten!C147*100/(Rohdaten!H147*9),"–")</f>
        <v>5.72390572390572</v>
      </c>
      <c r="E147" s="8" t="n">
        <f aca="false">IFERROR(Rohdaten!C147*100/(Rohdaten!I147*4),"–")</f>
        <v>12.1428571428571</v>
      </c>
      <c r="F147" s="8" t="n">
        <f aca="false">IFERROR(Rohdaten!C147*100/(Rohdaten!J147*4),"–")</f>
        <v>9.04255319148936</v>
      </c>
      <c r="G147" s="9" t="n">
        <f aca="false">IFERROR(Rohdaten!C147*100/Rohdaten!K147,"–")</f>
        <v>6.07142857142857</v>
      </c>
      <c r="H147" s="8" t="n">
        <f aca="false">IFERROR(Rohdaten!C147*100/Rohdaten!L147,"–")</f>
        <v>212.5</v>
      </c>
      <c r="I147" s="9" t="str">
        <f aca="false">IFERROR(Rohdaten!C147*100/Rohdaten!M147,"–")</f>
        <v>–</v>
      </c>
      <c r="J147" s="8" t="n">
        <f aca="false">IFERROR(Rohdaten!C147*100/Rohdaten!N147,"–")</f>
        <v>1700</v>
      </c>
      <c r="K147" s="9" t="n">
        <f aca="false">IFERROR(Rohdaten!C147*100/Rohdaten!O147,"–")</f>
        <v>850</v>
      </c>
      <c r="L147" s="8" t="n">
        <f aca="false">IFERROR(Rohdaten!C147*100/Rohdaten!P147,"–")</f>
        <v>5666.66666666667</v>
      </c>
      <c r="M147" s="8" t="n">
        <f aca="false">IFERROR(Rohdaten!C147*100/Rohdaten!Q147,"–")</f>
        <v>944.444444444445</v>
      </c>
      <c r="N147" s="8" t="n">
        <f aca="false">IFERROR(Rohdaten!C147*100/Rohdaten!R147,"–")</f>
        <v>1700</v>
      </c>
      <c r="O147" s="8" t="n">
        <f aca="false">IFERROR(Rohdaten!C147*100/Rohdaten!S147,"–")</f>
        <v>3400</v>
      </c>
      <c r="P147" s="9" t="n">
        <f aca="false">IFERROR(Rohdaten!C147*100/Rohdaten!T147,"–")</f>
        <v>24.2857142857143</v>
      </c>
      <c r="Q147" s="9" t="n">
        <f aca="false">IFERROR(Rohdaten!C147*100/Rohdaten!U147,"–")</f>
        <v>425</v>
      </c>
      <c r="R147" s="8" t="n">
        <f aca="false">IFERROR(Rohdaten!C147*100/Rohdaten!V147,"–")</f>
        <v>1.41666666666667</v>
      </c>
      <c r="S147" s="8" t="n">
        <f aca="false">IFERROR(Rohdaten!C147*100/Rohdaten!W147,"–")</f>
        <v>1700</v>
      </c>
      <c r="T147" s="8" t="n">
        <f aca="false">IFERROR(Rohdaten!C147*100/Rohdaten!X147,"–")</f>
        <v>14.1666666666667</v>
      </c>
      <c r="U147" s="8" t="n">
        <f aca="false">IFERROR(Rohdaten!C147*100/Rohdaten!Y147,"–")</f>
        <v>340</v>
      </c>
      <c r="V147" s="8" t="n">
        <f aca="false">IFERROR(Rohdaten!C147*100/Rohdaten!Z147,"–")</f>
        <v>1.09677419354839</v>
      </c>
    </row>
    <row r="148" customFormat="false" ht="15" hidden="false" customHeight="true" outlineLevel="0" collapsed="false">
      <c r="A148" s="4" t="str">
        <f aca="false">Rohdaten!A148</f>
        <v>Joghurt (Bio), natur</v>
      </c>
      <c r="B148" s="8" t="n">
        <f aca="false">Rohdaten!C148</f>
        <v>1.9</v>
      </c>
      <c r="C148" s="8" t="n">
        <f aca="false">IFERROR(Rohdaten!C148*100/Rohdaten!G148,"–")</f>
        <v>3.11475409836066</v>
      </c>
      <c r="D148" s="8" t="n">
        <f aca="false">IFERROR(Rohdaten!C148*100/(Rohdaten!H148*9),"–")</f>
        <v>6.3973063973064</v>
      </c>
      <c r="E148" s="8" t="n">
        <f aca="false">IFERROR(Rohdaten!C148*100/(Rohdaten!I148*4),"–")</f>
        <v>13.5714285714286</v>
      </c>
      <c r="F148" s="8" t="n">
        <f aca="false">IFERROR(Rohdaten!C148*100/(Rohdaten!J148*4),"–")</f>
        <v>10.1063829787234</v>
      </c>
      <c r="G148" s="9" t="n">
        <f aca="false">IFERROR(Rohdaten!C148*100/Rohdaten!K148,"–")</f>
        <v>6.78571428571429</v>
      </c>
      <c r="H148" s="8" t="n">
        <f aca="false">IFERROR(Rohdaten!C148*100/Rohdaten!L148,"–")</f>
        <v>237.5</v>
      </c>
      <c r="I148" s="9" t="str">
        <f aca="false">IFERROR(Rohdaten!C148*100/Rohdaten!M148,"–")</f>
        <v>–</v>
      </c>
      <c r="J148" s="8" t="n">
        <f aca="false">IFERROR(Rohdaten!C148*100/Rohdaten!N148,"–")</f>
        <v>1900</v>
      </c>
      <c r="K148" s="9" t="n">
        <f aca="false">IFERROR(Rohdaten!C148*100/Rohdaten!O148,"–")</f>
        <v>950</v>
      </c>
      <c r="L148" s="8" t="n">
        <f aca="false">IFERROR(Rohdaten!C148*100/Rohdaten!P148,"–")</f>
        <v>6333.33333333333</v>
      </c>
      <c r="M148" s="8" t="n">
        <f aca="false">IFERROR(Rohdaten!C148*100/Rohdaten!Q148,"–")</f>
        <v>1055.55555555556</v>
      </c>
      <c r="N148" s="8" t="n">
        <f aca="false">IFERROR(Rohdaten!C148*100/Rohdaten!R148,"–")</f>
        <v>1900</v>
      </c>
      <c r="O148" s="8" t="n">
        <f aca="false">IFERROR(Rohdaten!C148*100/Rohdaten!S148,"–")</f>
        <v>3800</v>
      </c>
      <c r="P148" s="9" t="n">
        <f aca="false">IFERROR(Rohdaten!C148*100/Rohdaten!T148,"–")</f>
        <v>27.1428571428571</v>
      </c>
      <c r="Q148" s="9" t="n">
        <f aca="false">IFERROR(Rohdaten!C148*100/Rohdaten!U148,"–")</f>
        <v>475</v>
      </c>
      <c r="R148" s="8" t="n">
        <f aca="false">IFERROR(Rohdaten!C148*100/Rohdaten!V148,"–")</f>
        <v>1.58333333333333</v>
      </c>
      <c r="S148" s="8" t="n">
        <f aca="false">IFERROR(Rohdaten!C148*100/Rohdaten!W148,"–")</f>
        <v>1900</v>
      </c>
      <c r="T148" s="8" t="n">
        <f aca="false">IFERROR(Rohdaten!C148*100/Rohdaten!X148,"–")</f>
        <v>15.8333333333333</v>
      </c>
      <c r="U148" s="8" t="n">
        <f aca="false">IFERROR(Rohdaten!C148*100/Rohdaten!Y148,"–")</f>
        <v>380</v>
      </c>
      <c r="V148" s="8" t="n">
        <f aca="false">IFERROR(Rohdaten!C148*100/Rohdaten!Z148,"–")</f>
        <v>1.2258064516129</v>
      </c>
    </row>
    <row r="149" customFormat="false" ht="15" hidden="false" customHeight="true" outlineLevel="0" collapsed="false">
      <c r="A149" s="4" t="str">
        <f aca="false">Rohdaten!A149</f>
        <v>Joghurt, Frucht</v>
      </c>
      <c r="B149" s="8" t="n">
        <f aca="false">Rohdaten!C149</f>
        <v>1.7</v>
      </c>
      <c r="C149" s="8" t="n">
        <f aca="false">IFERROR(Rohdaten!C149*100/Rohdaten!G149,"–")</f>
        <v>1.78947368421053</v>
      </c>
      <c r="D149" s="8" t="n">
        <f aca="false">IFERROR(Rohdaten!C149*100/(Rohdaten!H149*9),"–")</f>
        <v>7.55555555555556</v>
      </c>
      <c r="E149" s="8" t="n">
        <f aca="false">IFERROR(Rohdaten!C149*100/(Rohdaten!I149*4),"–")</f>
        <v>13.28125</v>
      </c>
      <c r="F149" s="8" t="n">
        <f aca="false">IFERROR(Rohdaten!C149*100/(Rohdaten!J149*4),"–")</f>
        <v>2.83333333333333</v>
      </c>
      <c r="G149" s="9" t="n">
        <f aca="false">IFERROR(Rohdaten!C149*100/Rohdaten!K149,"–")</f>
        <v>8.5</v>
      </c>
      <c r="H149" s="8" t="n">
        <f aca="false">IFERROR(Rohdaten!C149*100/Rohdaten!L149,"–")</f>
        <v>56.6666666666667</v>
      </c>
      <c r="I149" s="9" t="str">
        <f aca="false">IFERROR(Rohdaten!C149*100/Rohdaten!M149,"–")</f>
        <v>–</v>
      </c>
      <c r="J149" s="8" t="n">
        <f aca="false">IFERROR(Rohdaten!C149*100/Rohdaten!N149,"–")</f>
        <v>1700</v>
      </c>
      <c r="K149" s="9" t="n">
        <f aca="false">IFERROR(Rohdaten!C149*100/Rohdaten!O149,"–")</f>
        <v>850</v>
      </c>
      <c r="L149" s="8" t="n">
        <f aca="false">IFERROR(Rohdaten!C149*100/Rohdaten!P149,"–")</f>
        <v>5666.66666666667</v>
      </c>
      <c r="M149" s="8" t="n">
        <f aca="false">IFERROR(Rohdaten!C149*100/Rohdaten!Q149,"–")</f>
        <v>1133.33333333333</v>
      </c>
      <c r="N149" s="8" t="n">
        <f aca="false">IFERROR(Rohdaten!C149*100/Rohdaten!R149,"–")</f>
        <v>1700</v>
      </c>
      <c r="O149" s="8" t="n">
        <f aca="false">IFERROR(Rohdaten!C149*100/Rohdaten!S149,"–")</f>
        <v>4250</v>
      </c>
      <c r="P149" s="9" t="n">
        <f aca="false">IFERROR(Rohdaten!C149*100/Rohdaten!T149,"–")</f>
        <v>28.3333333333333</v>
      </c>
      <c r="Q149" s="9" t="n">
        <f aca="false">IFERROR(Rohdaten!C149*100/Rohdaten!U149,"–")</f>
        <v>566.666666666667</v>
      </c>
      <c r="R149" s="8" t="n">
        <f aca="false">IFERROR(Rohdaten!C149*100/Rohdaten!V149,"–")</f>
        <v>1.7</v>
      </c>
      <c r="S149" s="8" t="n">
        <f aca="false">IFERROR(Rohdaten!C149*100/Rohdaten!W149,"–")</f>
        <v>1700</v>
      </c>
      <c r="T149" s="8" t="n">
        <f aca="false">IFERROR(Rohdaten!C149*100/Rohdaten!X149,"–")</f>
        <v>17</v>
      </c>
      <c r="U149" s="8" t="n">
        <f aca="false">IFERROR(Rohdaten!C149*100/Rohdaten!Y149,"–")</f>
        <v>425</v>
      </c>
      <c r="V149" s="8" t="n">
        <f aca="false">IFERROR(Rohdaten!C149*100/Rohdaten!Z149,"–")</f>
        <v>1.21428571428571</v>
      </c>
    </row>
    <row r="150" customFormat="false" ht="15" hidden="false" customHeight="true" outlineLevel="0" collapsed="false">
      <c r="A150" s="4" t="str">
        <f aca="false">Rohdaten!A150</f>
        <v>Quark, 40% Fett</v>
      </c>
      <c r="B150" s="8" t="n">
        <f aca="false">Rohdaten!C150</f>
        <v>3.3</v>
      </c>
      <c r="C150" s="8" t="n">
        <f aca="false">IFERROR(Rohdaten!C150*100/Rohdaten!G150,"–")</f>
        <v>2.27586206896552</v>
      </c>
      <c r="D150" s="8" t="n">
        <f aca="false">IFERROR(Rohdaten!C150*100/(Rohdaten!H150*9),"–")</f>
        <v>3.33333333333333</v>
      </c>
      <c r="E150" s="8" t="n">
        <f aca="false">IFERROR(Rohdaten!C150*100/(Rohdaten!I150*4),"–")</f>
        <v>7.5</v>
      </c>
      <c r="F150" s="8" t="n">
        <f aca="false">IFERROR(Rohdaten!C150*100/(Rohdaten!J150*4),"–")</f>
        <v>23.5714285714286</v>
      </c>
      <c r="G150" s="9" t="n">
        <f aca="false">IFERROR(Rohdaten!C150*100/Rohdaten!K150,"–")</f>
        <v>2.75</v>
      </c>
      <c r="H150" s="8" t="str">
        <f aca="false">IFERROR(Rohdaten!C150*100/Rohdaten!L150,"–")</f>
        <v>–</v>
      </c>
      <c r="I150" s="9" t="str">
        <f aca="false">IFERROR(Rohdaten!C150*100/Rohdaten!M150,"–")</f>
        <v>–</v>
      </c>
      <c r="J150" s="8" t="n">
        <f aca="false">IFERROR(Rohdaten!C150*100/Rohdaten!N150,"–")</f>
        <v>3300</v>
      </c>
      <c r="K150" s="9" t="n">
        <f aca="false">IFERROR(Rohdaten!C150*100/Rohdaten!O150,"–")</f>
        <v>330</v>
      </c>
      <c r="L150" s="8" t="n">
        <f aca="false">IFERROR(Rohdaten!C150*100/Rohdaten!P150,"–")</f>
        <v>16500</v>
      </c>
      <c r="M150" s="8" t="n">
        <f aca="false">IFERROR(Rohdaten!C150*100/Rohdaten!Q150,"–")</f>
        <v>1650</v>
      </c>
      <c r="N150" s="8" t="n">
        <f aca="false">IFERROR(Rohdaten!C150*100/Rohdaten!R150,"–")</f>
        <v>3300</v>
      </c>
      <c r="O150" s="8" t="n">
        <f aca="false">IFERROR(Rohdaten!C150*100/Rohdaten!S150,"–")</f>
        <v>6600</v>
      </c>
      <c r="P150" s="9" t="n">
        <f aca="false">IFERROR(Rohdaten!C150*100/Rohdaten!T150,"–")</f>
        <v>33</v>
      </c>
      <c r="Q150" s="9" t="n">
        <f aca="false">IFERROR(Rohdaten!C150*100/Rohdaten!U150,"–")</f>
        <v>550</v>
      </c>
      <c r="R150" s="8" t="n">
        <f aca="false">IFERROR(Rohdaten!C150*100/Rohdaten!V150,"–")</f>
        <v>3.66666666666667</v>
      </c>
      <c r="S150" s="8" t="n">
        <f aca="false">IFERROR(Rohdaten!C150*100/Rohdaten!W150,"–")</f>
        <v>3300</v>
      </c>
      <c r="T150" s="8" t="n">
        <f aca="false">IFERROR(Rohdaten!C150*100/Rohdaten!X150,"–")</f>
        <v>41.25</v>
      </c>
      <c r="U150" s="8" t="n">
        <f aca="false">IFERROR(Rohdaten!C150*100/Rohdaten!Y150,"–")</f>
        <v>660</v>
      </c>
      <c r="V150" s="8" t="n">
        <f aca="false">IFERROR(Rohdaten!C150*100/Rohdaten!Z150,"–")</f>
        <v>3</v>
      </c>
    </row>
    <row r="151" customFormat="false" ht="15" hidden="false" customHeight="true" outlineLevel="0" collapsed="false">
      <c r="A151" s="4" t="str">
        <f aca="false">Rohdaten!A151</f>
        <v>Quark (Bio), 40% Fett</v>
      </c>
      <c r="B151" s="8" t="n">
        <f aca="false">Rohdaten!C151</f>
        <v>4.1</v>
      </c>
      <c r="C151" s="8" t="n">
        <f aca="false">IFERROR(Rohdaten!C151*100/Rohdaten!G151,"–")</f>
        <v>2.82758620689655</v>
      </c>
      <c r="D151" s="8" t="n">
        <f aca="false">IFERROR(Rohdaten!C151*100/(Rohdaten!H151*9),"–")</f>
        <v>4.14141414141414</v>
      </c>
      <c r="E151" s="8" t="n">
        <f aca="false">IFERROR(Rohdaten!C151*100/(Rohdaten!I151*4),"–")</f>
        <v>9.31818181818182</v>
      </c>
      <c r="F151" s="8" t="n">
        <f aca="false">IFERROR(Rohdaten!C151*100/(Rohdaten!J151*4),"–")</f>
        <v>29.2857142857143</v>
      </c>
      <c r="G151" s="9" t="n">
        <f aca="false">IFERROR(Rohdaten!C151*100/Rohdaten!K151,"–")</f>
        <v>3.41666666666667</v>
      </c>
      <c r="H151" s="8" t="str">
        <f aca="false">IFERROR(Rohdaten!C151*100/Rohdaten!L151,"–")</f>
        <v>–</v>
      </c>
      <c r="I151" s="9" t="str">
        <f aca="false">IFERROR(Rohdaten!C151*100/Rohdaten!M151,"–")</f>
        <v>–</v>
      </c>
      <c r="J151" s="8" t="n">
        <f aca="false">IFERROR(Rohdaten!C151*100/Rohdaten!N151,"–")</f>
        <v>4100</v>
      </c>
      <c r="K151" s="9" t="n">
        <f aca="false">IFERROR(Rohdaten!C151*100/Rohdaten!O151,"–")</f>
        <v>410</v>
      </c>
      <c r="L151" s="8" t="n">
        <f aca="false">IFERROR(Rohdaten!C151*100/Rohdaten!P151,"–")</f>
        <v>20500</v>
      </c>
      <c r="M151" s="8" t="n">
        <f aca="false">IFERROR(Rohdaten!C151*100/Rohdaten!Q151,"–")</f>
        <v>2050</v>
      </c>
      <c r="N151" s="8" t="n">
        <f aca="false">IFERROR(Rohdaten!C151*100/Rohdaten!R151,"–")</f>
        <v>4100</v>
      </c>
      <c r="O151" s="8" t="n">
        <f aca="false">IFERROR(Rohdaten!C151*100/Rohdaten!S151,"–")</f>
        <v>8200</v>
      </c>
      <c r="P151" s="9" t="n">
        <f aca="false">IFERROR(Rohdaten!C151*100/Rohdaten!T151,"–")</f>
        <v>41</v>
      </c>
      <c r="Q151" s="9" t="n">
        <f aca="false">IFERROR(Rohdaten!C151*100/Rohdaten!U151,"–")</f>
        <v>683.333333333333</v>
      </c>
      <c r="R151" s="8" t="n">
        <f aca="false">IFERROR(Rohdaten!C151*100/Rohdaten!V151,"–")</f>
        <v>4.55555555555556</v>
      </c>
      <c r="S151" s="8" t="n">
        <f aca="false">IFERROR(Rohdaten!C151*100/Rohdaten!W151,"–")</f>
        <v>4100</v>
      </c>
      <c r="T151" s="8" t="n">
        <f aca="false">IFERROR(Rohdaten!C151*100/Rohdaten!X151,"–")</f>
        <v>51.25</v>
      </c>
      <c r="U151" s="8" t="n">
        <f aca="false">IFERROR(Rohdaten!C151*100/Rohdaten!Y151,"–")</f>
        <v>820</v>
      </c>
      <c r="V151" s="8" t="n">
        <f aca="false">IFERROR(Rohdaten!C151*100/Rohdaten!Z151,"–")</f>
        <v>3.72727272727273</v>
      </c>
    </row>
    <row r="152" customFormat="false" ht="15" hidden="false" customHeight="true" outlineLevel="0" collapsed="false">
      <c r="A152" s="4" t="str">
        <f aca="false">Rohdaten!A152</f>
        <v>Magerquark, 10% Fett</v>
      </c>
      <c r="B152" s="8" t="n">
        <f aca="false">Rohdaten!C152</f>
        <v>2.4</v>
      </c>
      <c r="C152" s="8" t="n">
        <f aca="false">IFERROR(Rohdaten!C152*100/Rohdaten!G152,"–")</f>
        <v>3.58208955223881</v>
      </c>
      <c r="D152" s="8" t="n">
        <f aca="false">IFERROR(Rohdaten!C152*100/(Rohdaten!H152*9),"–")</f>
        <v>88.8888888888889</v>
      </c>
      <c r="E152" s="8" t="n">
        <f aca="false">IFERROR(Rohdaten!C152*100/(Rohdaten!I152*4),"–")</f>
        <v>4.61538461538462</v>
      </c>
      <c r="F152" s="8" t="n">
        <f aca="false">IFERROR(Rohdaten!C152*100/(Rohdaten!J152*4),"–")</f>
        <v>15</v>
      </c>
      <c r="G152" s="9" t="n">
        <f aca="false">IFERROR(Rohdaten!C152*100/Rohdaten!K152,"–")</f>
        <v>120</v>
      </c>
      <c r="H152" s="8" t="str">
        <f aca="false">IFERROR(Rohdaten!C152*100/Rohdaten!L152,"–")</f>
        <v>–</v>
      </c>
      <c r="I152" s="9" t="str">
        <f aca="false">IFERROR(Rohdaten!C152*100/Rohdaten!M152,"–")</f>
        <v>–</v>
      </c>
      <c r="J152" s="8" t="str">
        <f aca="false">IFERROR(Rohdaten!C152*100/Rohdaten!N152,"–")</f>
        <v>–</v>
      </c>
      <c r="K152" s="9" t="n">
        <f aca="false">IFERROR(Rohdaten!C152*100/Rohdaten!O152,"–")</f>
        <v>480</v>
      </c>
      <c r="L152" s="8" t="n">
        <f aca="false">IFERROR(Rohdaten!C152*100/Rohdaten!P152,"–")</f>
        <v>12000</v>
      </c>
      <c r="M152" s="8" t="n">
        <f aca="false">IFERROR(Rohdaten!C152*100/Rohdaten!Q152,"–")</f>
        <v>1090.90909090909</v>
      </c>
      <c r="N152" s="8" t="n">
        <f aca="false">IFERROR(Rohdaten!C152*100/Rohdaten!R152,"–")</f>
        <v>2400</v>
      </c>
      <c r="O152" s="8" t="n">
        <f aca="false">IFERROR(Rohdaten!C152*100/Rohdaten!S152,"–")</f>
        <v>4800</v>
      </c>
      <c r="P152" s="9" t="n">
        <f aca="false">IFERROR(Rohdaten!C152*100/Rohdaten!T152,"–")</f>
        <v>24</v>
      </c>
      <c r="Q152" s="9" t="n">
        <f aca="false">IFERROR(Rohdaten!C152*100/Rohdaten!U152,"–")</f>
        <v>400</v>
      </c>
      <c r="R152" s="8" t="n">
        <f aca="false">IFERROR(Rohdaten!C152*100/Rohdaten!V152,"–")</f>
        <v>2.66666666666667</v>
      </c>
      <c r="S152" s="8" t="n">
        <f aca="false">IFERROR(Rohdaten!C152*100/Rohdaten!W152,"–")</f>
        <v>2400</v>
      </c>
      <c r="T152" s="8" t="n">
        <f aca="false">IFERROR(Rohdaten!C152*100/Rohdaten!X152,"–")</f>
        <v>30</v>
      </c>
      <c r="U152" s="8" t="n">
        <f aca="false">IFERROR(Rohdaten!C152*100/Rohdaten!Y152,"–")</f>
        <v>480</v>
      </c>
      <c r="V152" s="8" t="n">
        <f aca="false">IFERROR(Rohdaten!C152*100/Rohdaten!Z152,"–")</f>
        <v>2</v>
      </c>
    </row>
    <row r="153" customFormat="false" ht="15" hidden="false" customHeight="true" outlineLevel="0" collapsed="false">
      <c r="A153" s="4" t="str">
        <f aca="false">Rohdaten!A153</f>
        <v>Sahne</v>
      </c>
      <c r="B153" s="8" t="n">
        <f aca="false">Rohdaten!C153</f>
        <v>4.2</v>
      </c>
      <c r="C153" s="8" t="n">
        <f aca="false">IFERROR(Rohdaten!C153*100/Rohdaten!G153,"–")</f>
        <v>1.43835616438356</v>
      </c>
      <c r="D153" s="8" t="n">
        <f aca="false">IFERROR(Rohdaten!C153*100/(Rohdaten!H153*9),"–")</f>
        <v>1.55555555555556</v>
      </c>
      <c r="E153" s="8" t="n">
        <f aca="false">IFERROR(Rohdaten!C153*100/(Rohdaten!I153*4),"–")</f>
        <v>43.75</v>
      </c>
      <c r="F153" s="8" t="n">
        <f aca="false">IFERROR(Rohdaten!C153*100/(Rohdaten!J153*4),"–")</f>
        <v>30.8823529411765</v>
      </c>
      <c r="G153" s="9" t="n">
        <f aca="false">IFERROR(Rohdaten!C153*100/Rohdaten!K153,"–")</f>
        <v>1.55555555555556</v>
      </c>
      <c r="H153" s="8" t="n">
        <f aca="false">IFERROR(Rohdaten!C153*100/Rohdaten!L153,"–")</f>
        <v>840</v>
      </c>
      <c r="I153" s="9" t="str">
        <f aca="false">IFERROR(Rohdaten!C153*100/Rohdaten!M153,"–")</f>
        <v>–</v>
      </c>
      <c r="J153" s="8" t="n">
        <f aca="false">IFERROR(Rohdaten!C153*100/Rohdaten!N153,"–")</f>
        <v>600</v>
      </c>
      <c r="K153" s="9" t="n">
        <f aca="false">IFERROR(Rohdaten!C153*100/Rohdaten!O153,"–")</f>
        <v>140</v>
      </c>
      <c r="L153" s="8" t="n">
        <f aca="false">IFERROR(Rohdaten!C153*100/Rohdaten!P153,"–")</f>
        <v>21000</v>
      </c>
      <c r="M153" s="8" t="n">
        <f aca="false">IFERROR(Rohdaten!C153*100/Rohdaten!Q153,"–")</f>
        <v>2800</v>
      </c>
      <c r="N153" s="8" t="n">
        <f aca="false">IFERROR(Rohdaten!C153*100/Rohdaten!R153,"–")</f>
        <v>4200</v>
      </c>
      <c r="O153" s="8" t="n">
        <f aca="false">IFERROR(Rohdaten!C153*100/Rohdaten!S153,"–")</f>
        <v>14000</v>
      </c>
      <c r="P153" s="9" t="n">
        <f aca="false">IFERROR(Rohdaten!C153*100/Rohdaten!T153,"–")</f>
        <v>105</v>
      </c>
      <c r="Q153" s="9" t="n">
        <f aca="false">IFERROR(Rohdaten!C153*100/Rohdaten!U153,"–")</f>
        <v>1400</v>
      </c>
      <c r="R153" s="8" t="n">
        <f aca="false">IFERROR(Rohdaten!C153*100/Rohdaten!V153,"–")</f>
        <v>5.25</v>
      </c>
      <c r="S153" s="8" t="n">
        <f aca="false">IFERROR(Rohdaten!C153*100/Rohdaten!W153,"–")</f>
        <v>4200</v>
      </c>
      <c r="T153" s="8" t="n">
        <f aca="false">IFERROR(Rohdaten!C153*100/Rohdaten!X153,"–")</f>
        <v>52.5</v>
      </c>
      <c r="U153" s="8" t="n">
        <f aca="false">IFERROR(Rohdaten!C153*100/Rohdaten!Y153,"–")</f>
        <v>1400</v>
      </c>
      <c r="V153" s="8" t="n">
        <f aca="false">IFERROR(Rohdaten!C153*100/Rohdaten!Z153,"–")</f>
        <v>3.81818181818182</v>
      </c>
    </row>
    <row r="154" customFormat="false" ht="15" hidden="false" customHeight="true" outlineLevel="0" collapsed="false">
      <c r="A154" s="4" t="str">
        <f aca="false">Rohdaten!A154</f>
        <v>Sahne (Bio)</v>
      </c>
      <c r="B154" s="8" t="n">
        <f aca="false">Rohdaten!C154</f>
        <v>5.3</v>
      </c>
      <c r="C154" s="8" t="n">
        <f aca="false">IFERROR(Rohdaten!C154*100/Rohdaten!G154,"–")</f>
        <v>1.81506849315068</v>
      </c>
      <c r="D154" s="8" t="n">
        <f aca="false">IFERROR(Rohdaten!C154*100/(Rohdaten!H154*9),"–")</f>
        <v>1.96296296296296</v>
      </c>
      <c r="E154" s="8" t="n">
        <f aca="false">IFERROR(Rohdaten!C154*100/(Rohdaten!I154*4),"–")</f>
        <v>55.2083333333333</v>
      </c>
      <c r="F154" s="8" t="n">
        <f aca="false">IFERROR(Rohdaten!C154*100/(Rohdaten!J154*4),"–")</f>
        <v>38.9705882352941</v>
      </c>
      <c r="G154" s="9" t="n">
        <f aca="false">IFERROR(Rohdaten!C154*100/Rohdaten!K154,"–")</f>
        <v>1.96296296296296</v>
      </c>
      <c r="H154" s="8" t="n">
        <f aca="false">IFERROR(Rohdaten!C154*100/Rohdaten!L154,"–")</f>
        <v>1060</v>
      </c>
      <c r="I154" s="9" t="str">
        <f aca="false">IFERROR(Rohdaten!C154*100/Rohdaten!M154,"–")</f>
        <v>–</v>
      </c>
      <c r="J154" s="8" t="n">
        <f aca="false">IFERROR(Rohdaten!C154*100/Rohdaten!N154,"–")</f>
        <v>757.142857142857</v>
      </c>
      <c r="K154" s="9" t="n">
        <f aca="false">IFERROR(Rohdaten!C154*100/Rohdaten!O154,"–")</f>
        <v>176.666666666667</v>
      </c>
      <c r="L154" s="8" t="n">
        <f aca="false">IFERROR(Rohdaten!C154*100/Rohdaten!P154,"–")</f>
        <v>26500</v>
      </c>
      <c r="M154" s="8" t="n">
        <f aca="false">IFERROR(Rohdaten!C154*100/Rohdaten!Q154,"–")</f>
        <v>3533.33333333333</v>
      </c>
      <c r="N154" s="8" t="n">
        <f aca="false">IFERROR(Rohdaten!C154*100/Rohdaten!R154,"–")</f>
        <v>5300</v>
      </c>
      <c r="O154" s="8" t="n">
        <f aca="false">IFERROR(Rohdaten!C154*100/Rohdaten!S154,"–")</f>
        <v>17666.6666666667</v>
      </c>
      <c r="P154" s="9" t="n">
        <f aca="false">IFERROR(Rohdaten!C154*100/Rohdaten!T154,"–")</f>
        <v>132.5</v>
      </c>
      <c r="Q154" s="9" t="n">
        <f aca="false">IFERROR(Rohdaten!C154*100/Rohdaten!U154,"–")</f>
        <v>1766.66666666667</v>
      </c>
      <c r="R154" s="8" t="n">
        <f aca="false">IFERROR(Rohdaten!C154*100/Rohdaten!V154,"–")</f>
        <v>6.625</v>
      </c>
      <c r="S154" s="8" t="n">
        <f aca="false">IFERROR(Rohdaten!C154*100/Rohdaten!W154,"–")</f>
        <v>5300</v>
      </c>
      <c r="T154" s="8" t="n">
        <f aca="false">IFERROR(Rohdaten!C154*100/Rohdaten!X154,"–")</f>
        <v>66.25</v>
      </c>
      <c r="U154" s="8" t="n">
        <f aca="false">IFERROR(Rohdaten!C154*100/Rohdaten!Y154,"–")</f>
        <v>1766.66666666667</v>
      </c>
      <c r="V154" s="8" t="n">
        <f aca="false">IFERROR(Rohdaten!C154*100/Rohdaten!Z154,"–")</f>
        <v>4.81818181818182</v>
      </c>
    </row>
    <row r="155" customFormat="false" ht="15" hidden="false" customHeight="true" outlineLevel="0" collapsed="false">
      <c r="A155" s="4" t="str">
        <f aca="false">Rohdaten!A155</f>
        <v>Saure Sahne</v>
      </c>
      <c r="B155" s="8" t="n">
        <f aca="false">Rohdaten!C155</f>
        <v>3</v>
      </c>
      <c r="C155" s="8" t="n">
        <f aca="false">IFERROR(Rohdaten!C155*100/Rohdaten!G155,"–")</f>
        <v>1.57894736842105</v>
      </c>
      <c r="D155" s="8" t="n">
        <f aca="false">IFERROR(Rohdaten!C155*100/(Rohdaten!H155*9),"–")</f>
        <v>1.85185185185185</v>
      </c>
      <c r="E155" s="8" t="n">
        <f aca="false">IFERROR(Rohdaten!C155*100/(Rohdaten!I155*4),"–")</f>
        <v>25.8620689655172</v>
      </c>
      <c r="F155" s="8" t="n">
        <f aca="false">IFERROR(Rohdaten!C155*100/(Rohdaten!J155*4),"–")</f>
        <v>20.8333333333333</v>
      </c>
      <c r="G155" s="9" t="n">
        <f aca="false">IFERROR(Rohdaten!C155*100/Rohdaten!K155,"–")</f>
        <v>1.66666666666667</v>
      </c>
      <c r="H155" s="8" t="n">
        <f aca="false">IFERROR(Rohdaten!C155*100/Rohdaten!L155,"–")</f>
        <v>600</v>
      </c>
      <c r="I155" s="9" t="str">
        <f aca="false">IFERROR(Rohdaten!C155*100/Rohdaten!M155,"–")</f>
        <v>–</v>
      </c>
      <c r="J155" s="8" t="n">
        <f aca="false">IFERROR(Rohdaten!C155*100/Rohdaten!N155,"–")</f>
        <v>600</v>
      </c>
      <c r="K155" s="9" t="n">
        <f aca="false">IFERROR(Rohdaten!C155*100/Rohdaten!O155,"–")</f>
        <v>150</v>
      </c>
      <c r="L155" s="8" t="n">
        <f aca="false">IFERROR(Rohdaten!C155*100/Rohdaten!P155,"–")</f>
        <v>15000</v>
      </c>
      <c r="M155" s="8" t="n">
        <f aca="false">IFERROR(Rohdaten!C155*100/Rohdaten!Q155,"–")</f>
        <v>2000</v>
      </c>
      <c r="N155" s="8" t="n">
        <f aca="false">IFERROR(Rohdaten!C155*100/Rohdaten!R155,"–")</f>
        <v>3000</v>
      </c>
      <c r="O155" s="8" t="n">
        <f aca="false">IFERROR(Rohdaten!C155*100/Rohdaten!S155,"–")</f>
        <v>10000</v>
      </c>
      <c r="P155" s="9" t="n">
        <f aca="false">IFERROR(Rohdaten!C155*100/Rohdaten!T155,"–")</f>
        <v>75</v>
      </c>
      <c r="Q155" s="9" t="n">
        <f aca="false">IFERROR(Rohdaten!C155*100/Rohdaten!U155,"–")</f>
        <v>1000</v>
      </c>
      <c r="R155" s="8" t="n">
        <f aca="false">IFERROR(Rohdaten!C155*100/Rohdaten!V155,"–")</f>
        <v>3.33333333333333</v>
      </c>
      <c r="S155" s="8" t="n">
        <f aca="false">IFERROR(Rohdaten!C155*100/Rohdaten!W155,"–")</f>
        <v>3000</v>
      </c>
      <c r="T155" s="8" t="n">
        <f aca="false">IFERROR(Rohdaten!C155*100/Rohdaten!X155,"–")</f>
        <v>37.5</v>
      </c>
      <c r="U155" s="8" t="n">
        <f aca="false">IFERROR(Rohdaten!C155*100/Rohdaten!Y155,"–")</f>
        <v>1000</v>
      </c>
      <c r="V155" s="8" t="n">
        <f aca="false">IFERROR(Rohdaten!C155*100/Rohdaten!Z155,"–")</f>
        <v>2.5</v>
      </c>
    </row>
    <row r="156" customFormat="false" ht="15" hidden="false" customHeight="true" outlineLevel="0" collapsed="false">
      <c r="A156" s="4" t="str">
        <f aca="false">Rohdaten!A156</f>
        <v>Ei, Durchschnitt</v>
      </c>
      <c r="B156" s="8" t="n">
        <f aca="false">Rohdaten!C156</f>
        <v>3</v>
      </c>
      <c r="C156" s="8" t="n">
        <f aca="false">IFERROR(Rohdaten!C156*100/Rohdaten!G156,"–")</f>
        <v>1.93548387096774</v>
      </c>
      <c r="D156" s="8" t="n">
        <f aca="false">IFERROR(Rohdaten!C156*100/(Rohdaten!H156*9),"–")</f>
        <v>3.03030303030303</v>
      </c>
      <c r="E156" s="8" t="n">
        <f aca="false">IFERROR(Rohdaten!C156*100/(Rohdaten!I156*4),"–")</f>
        <v>5.76923076923077</v>
      </c>
      <c r="F156" s="8" t="n">
        <f aca="false">IFERROR(Rohdaten!C156*100/(Rohdaten!J156*4),"–")</f>
        <v>68.1818181818182</v>
      </c>
      <c r="G156" s="9" t="n">
        <f aca="false">IFERROR(Rohdaten!C156*100/Rohdaten!K156,"–")</f>
        <v>1.875</v>
      </c>
      <c r="H156" s="8" t="str">
        <f aca="false">IFERROR(Rohdaten!C156*100/Rohdaten!L156,"–")</f>
        <v>–</v>
      </c>
      <c r="I156" s="9" t="n">
        <f aca="false">IFERROR(Rohdaten!C156*100/Rohdaten!M156,"–")</f>
        <v>150</v>
      </c>
      <c r="J156" s="8" t="n">
        <f aca="false">IFERROR(Rohdaten!C156*100/Rohdaten!N156,"–")</f>
        <v>300</v>
      </c>
      <c r="K156" s="9" t="n">
        <f aca="false">IFERROR(Rohdaten!C156*100/Rohdaten!O156,"–")</f>
        <v>1000</v>
      </c>
      <c r="L156" s="8" t="n">
        <f aca="false">IFERROR(Rohdaten!C156*100/Rohdaten!P156,"–")</f>
        <v>4285.71428571429</v>
      </c>
      <c r="M156" s="8" t="n">
        <f aca="false">IFERROR(Rohdaten!C156*100/Rohdaten!Q156,"–")</f>
        <v>600</v>
      </c>
      <c r="N156" s="8" t="n">
        <f aca="false">IFERROR(Rohdaten!C156*100/Rohdaten!R156,"–")</f>
        <v>3000</v>
      </c>
      <c r="O156" s="8" t="n">
        <f aca="false">IFERROR(Rohdaten!C156*100/Rohdaten!S156,"–")</f>
        <v>1764.70588235294</v>
      </c>
      <c r="P156" s="9" t="n">
        <f aca="false">IFERROR(Rohdaten!C156*100/Rohdaten!T156,"–")</f>
        <v>6.38297872340426</v>
      </c>
      <c r="Q156" s="9" t="n">
        <f aca="false">IFERROR(Rohdaten!C156*100/Rohdaten!U156,"–")</f>
        <v>333.333333333333</v>
      </c>
      <c r="R156" s="8" t="n">
        <f aca="false">IFERROR(Rohdaten!C156*100/Rohdaten!V156,"–")</f>
        <v>6</v>
      </c>
      <c r="S156" s="8" t="n">
        <f aca="false">IFERROR(Rohdaten!C156*100/Rohdaten!W156,"–")</f>
        <v>166.666666666667</v>
      </c>
      <c r="T156" s="8" t="n">
        <f aca="false">IFERROR(Rohdaten!C156*100/Rohdaten!X156,"–")</f>
        <v>25</v>
      </c>
      <c r="U156" s="8" t="n">
        <f aca="false">IFERROR(Rohdaten!C156*100/Rohdaten!Y156,"–")</f>
        <v>230.769230769231</v>
      </c>
      <c r="V156" s="8" t="n">
        <f aca="false">IFERROR(Rohdaten!C156*100/Rohdaten!Z156,"–")</f>
        <v>2.14285714285714</v>
      </c>
    </row>
    <row r="157" customFormat="false" ht="15" hidden="false" customHeight="true" outlineLevel="0" collapsed="false">
      <c r="A157" s="4" t="str">
        <f aca="false">Rohdaten!A157</f>
        <v>Kokosöl</v>
      </c>
      <c r="B157" s="8" t="n">
        <f aca="false">Rohdaten!C157</f>
        <v>2.3</v>
      </c>
      <c r="C157" s="8" t="n">
        <f aca="false">IFERROR(Rohdaten!C157*100/Rohdaten!G157,"–")</f>
        <v>0.266821345707657</v>
      </c>
      <c r="D157" s="8" t="n">
        <f aca="false">IFERROR(Rohdaten!C157*100/(Rohdaten!H157*9),"–")</f>
        <v>0.255555555555556</v>
      </c>
      <c r="E157" s="8" t="str">
        <f aca="false">IFERROR(Rohdaten!C157*100/(Rohdaten!I157*4),"–")</f>
        <v>–</v>
      </c>
      <c r="F157" s="8" t="str">
        <f aca="false">IFERROR(Rohdaten!C157*100/(Rohdaten!J157*4),"–")</f>
        <v>–</v>
      </c>
      <c r="G157" s="9" t="str">
        <f aca="false">IFERROR(Rohdaten!C157*100/Rohdaten!K157,"–")</f>
        <v>–</v>
      </c>
      <c r="H157" s="8" t="str">
        <f aca="false">IFERROR(Rohdaten!C157*100/Rohdaten!L157,"–")</f>
        <v>–</v>
      </c>
      <c r="I157" s="9" t="str">
        <f aca="false">IFERROR(Rohdaten!C157*100/Rohdaten!M157,"–")</f>
        <v>–</v>
      </c>
      <c r="J157" s="8" t="n">
        <f aca="false">IFERROR(Rohdaten!C157*100/Rohdaten!N157,"–")</f>
        <v>2300</v>
      </c>
      <c r="K157" s="9" t="n">
        <f aca="false">IFERROR(Rohdaten!C157*100/Rohdaten!O157,"–")</f>
        <v>460</v>
      </c>
      <c r="L157" s="8" t="str">
        <f aca="false">IFERROR(Rohdaten!C157*100/Rohdaten!P157,"–")</f>
        <v>–</v>
      </c>
      <c r="M157" s="8" t="str">
        <f aca="false">IFERROR(Rohdaten!C157*100/Rohdaten!Q157,"–")</f>
        <v>–</v>
      </c>
      <c r="N157" s="8" t="str">
        <f aca="false">IFERROR(Rohdaten!C157*100/Rohdaten!R157,"–")</f>
        <v>–</v>
      </c>
      <c r="O157" s="8" t="str">
        <f aca="false">IFERROR(Rohdaten!C157*100/Rohdaten!S157,"–")</f>
        <v>–</v>
      </c>
      <c r="P157" s="9" t="str">
        <f aca="false">IFERROR(Rohdaten!C157*100/Rohdaten!T157,"–")</f>
        <v>–</v>
      </c>
      <c r="Q157" s="9" t="str">
        <f aca="false">IFERROR(Rohdaten!C157*100/Rohdaten!U157,"–")</f>
        <v>–</v>
      </c>
      <c r="R157" s="8" t="str">
        <f aca="false">IFERROR(Rohdaten!C157*100/Rohdaten!V157,"–")</f>
        <v>–</v>
      </c>
      <c r="S157" s="8" t="n">
        <f aca="false">IFERROR(Rohdaten!C157*100/Rohdaten!W157,"–")</f>
        <v>5750</v>
      </c>
      <c r="T157" s="8" t="str">
        <f aca="false">IFERROR(Rohdaten!C157*100/Rohdaten!X157,"–")</f>
        <v>–</v>
      </c>
      <c r="U157" s="8" t="str">
        <f aca="false">IFERROR(Rohdaten!C157*100/Rohdaten!Y157,"–")</f>
        <v>–</v>
      </c>
      <c r="V157" s="8" t="n">
        <f aca="false">IFERROR(Rohdaten!C157*100/Rohdaten!Z157,"–")</f>
        <v>230</v>
      </c>
    </row>
    <row r="158" customFormat="false" ht="15" hidden="false" customHeight="true" outlineLevel="0" collapsed="false">
      <c r="A158" s="4" t="str">
        <f aca="false">Rohdaten!A158</f>
        <v>Margarine, vollfett</v>
      </c>
      <c r="B158" s="8" t="n">
        <f aca="false">Rohdaten!C158</f>
        <v>2.8</v>
      </c>
      <c r="C158" s="8" t="n">
        <f aca="false">IFERROR(Rohdaten!C158*100/Rohdaten!G158,"–")</f>
        <v>0.388888888888889</v>
      </c>
      <c r="D158" s="8" t="n">
        <f aca="false">IFERROR(Rohdaten!C158*100/(Rohdaten!H158*9),"–")</f>
        <v>0.388888888888889</v>
      </c>
      <c r="E158" s="8" t="n">
        <f aca="false">IFERROR(Rohdaten!C158*100/(Rohdaten!I158*4),"–")</f>
        <v>350</v>
      </c>
      <c r="F158" s="8" t="n">
        <f aca="false">IFERROR(Rohdaten!C158*100/(Rohdaten!J158*4),"–")</f>
        <v>140</v>
      </c>
      <c r="G158" s="9" t="n">
        <f aca="false">IFERROR(Rohdaten!C158*100/Rohdaten!K158,"–")</f>
        <v>0.35</v>
      </c>
      <c r="H158" s="8" t="str">
        <f aca="false">IFERROR(Rohdaten!C158*100/Rohdaten!L158,"–")</f>
        <v>–</v>
      </c>
      <c r="I158" s="9" t="n">
        <f aca="false">IFERROR(Rohdaten!C158*100/Rohdaten!M158,"–")</f>
        <v>37.3333333333333</v>
      </c>
      <c r="J158" s="8" t="n">
        <f aca="false">IFERROR(Rohdaten!C158*100/Rohdaten!N158,"–")</f>
        <v>18.6666666666667</v>
      </c>
      <c r="K158" s="9" t="n">
        <f aca="false">IFERROR(Rohdaten!C158*100/Rohdaten!O158,"–")</f>
        <v>4.66666666666667</v>
      </c>
      <c r="L158" s="8" t="str">
        <f aca="false">IFERROR(Rohdaten!C158*100/Rohdaten!P158,"–")</f>
        <v>–</v>
      </c>
      <c r="M158" s="8" t="str">
        <f aca="false">IFERROR(Rohdaten!C158*100/Rohdaten!Q158,"–")</f>
        <v>–</v>
      </c>
      <c r="N158" s="8" t="str">
        <f aca="false">IFERROR(Rohdaten!C158*100/Rohdaten!R158,"–")</f>
        <v>–</v>
      </c>
      <c r="O158" s="8" t="str">
        <f aca="false">IFERROR(Rohdaten!C158*100/Rohdaten!S158,"–")</f>
        <v>–</v>
      </c>
      <c r="P158" s="9" t="str">
        <f aca="false">IFERROR(Rohdaten!C158*100/Rohdaten!T158,"–")</f>
        <v>–</v>
      </c>
      <c r="Q158" s="9" t="str">
        <f aca="false">IFERROR(Rohdaten!C158*100/Rohdaten!U158,"–")</f>
        <v>–</v>
      </c>
      <c r="R158" s="8" t="n">
        <f aca="false">IFERROR(Rohdaten!C158*100/Rohdaten!V158,"–")</f>
        <v>56</v>
      </c>
      <c r="S158" s="8" t="n">
        <f aca="false">IFERROR(Rohdaten!C158*100/Rohdaten!W158,"–")</f>
        <v>2800</v>
      </c>
      <c r="T158" s="8" t="n">
        <f aca="false">IFERROR(Rohdaten!C158*100/Rohdaten!X158,"–")</f>
        <v>280</v>
      </c>
      <c r="U158" s="8" t="n">
        <f aca="false">IFERROR(Rohdaten!C158*100/Rohdaten!Y158,"–")</f>
        <v>2800</v>
      </c>
      <c r="V158" s="8" t="n">
        <f aca="false">IFERROR(Rohdaten!C158*100/Rohdaten!Z158,"–")</f>
        <v>14</v>
      </c>
    </row>
    <row r="159" customFormat="false" ht="15" hidden="false" customHeight="true" outlineLevel="0" collapsed="false">
      <c r="A159" s="4" t="str">
        <f aca="false">Rohdaten!A159</f>
        <v>Margarine (Bio), vollfett</v>
      </c>
      <c r="B159" s="8" t="n">
        <f aca="false">Rohdaten!C159</f>
        <v>2.5</v>
      </c>
      <c r="C159" s="8" t="n">
        <f aca="false">IFERROR(Rohdaten!C159*100/Rohdaten!G159,"–")</f>
        <v>0.347222222222222</v>
      </c>
      <c r="D159" s="8" t="n">
        <f aca="false">IFERROR(Rohdaten!C159*100/(Rohdaten!H159*9),"–")</f>
        <v>0.347222222222222</v>
      </c>
      <c r="E159" s="8" t="n">
        <f aca="false">IFERROR(Rohdaten!C159*100/(Rohdaten!I159*4),"–")</f>
        <v>312.5</v>
      </c>
      <c r="F159" s="8" t="n">
        <f aca="false">IFERROR(Rohdaten!C159*100/(Rohdaten!J159*4),"–")</f>
        <v>125</v>
      </c>
      <c r="G159" s="9" t="n">
        <f aca="false">IFERROR(Rohdaten!C159*100/Rohdaten!K159,"–")</f>
        <v>0.3125</v>
      </c>
      <c r="H159" s="8" t="str">
        <f aca="false">IFERROR(Rohdaten!C159*100/Rohdaten!L159,"–")</f>
        <v>–</v>
      </c>
      <c r="I159" s="9" t="n">
        <f aca="false">IFERROR(Rohdaten!C159*100/Rohdaten!M159,"–")</f>
        <v>33.3333333333333</v>
      </c>
      <c r="J159" s="8" t="n">
        <f aca="false">IFERROR(Rohdaten!C159*100/Rohdaten!N159,"–")</f>
        <v>16.6666666666667</v>
      </c>
      <c r="K159" s="9" t="n">
        <f aca="false">IFERROR(Rohdaten!C159*100/Rohdaten!O159,"–")</f>
        <v>4.16666666666667</v>
      </c>
      <c r="L159" s="8" t="str">
        <f aca="false">IFERROR(Rohdaten!C159*100/Rohdaten!P159,"–")</f>
        <v>–</v>
      </c>
      <c r="M159" s="8" t="str">
        <f aca="false">IFERROR(Rohdaten!C159*100/Rohdaten!Q159,"–")</f>
        <v>–</v>
      </c>
      <c r="N159" s="8" t="str">
        <f aca="false">IFERROR(Rohdaten!C159*100/Rohdaten!R159,"–")</f>
        <v>–</v>
      </c>
      <c r="O159" s="8" t="str">
        <f aca="false">IFERROR(Rohdaten!C159*100/Rohdaten!S159,"–")</f>
        <v>–</v>
      </c>
      <c r="P159" s="9" t="str">
        <f aca="false">IFERROR(Rohdaten!C159*100/Rohdaten!T159,"–")</f>
        <v>–</v>
      </c>
      <c r="Q159" s="9" t="str">
        <f aca="false">IFERROR(Rohdaten!C159*100/Rohdaten!U159,"–")</f>
        <v>–</v>
      </c>
      <c r="R159" s="8" t="n">
        <f aca="false">IFERROR(Rohdaten!C159*100/Rohdaten!V159,"–")</f>
        <v>50</v>
      </c>
      <c r="S159" s="8" t="n">
        <f aca="false">IFERROR(Rohdaten!C159*100/Rohdaten!W159,"–")</f>
        <v>2500</v>
      </c>
      <c r="T159" s="8" t="n">
        <f aca="false">IFERROR(Rohdaten!C159*100/Rohdaten!X159,"–")</f>
        <v>250</v>
      </c>
      <c r="U159" s="8" t="n">
        <f aca="false">IFERROR(Rohdaten!C159*100/Rohdaten!Y159,"–")</f>
        <v>2500</v>
      </c>
      <c r="V159" s="8" t="n">
        <f aca="false">IFERROR(Rohdaten!C159*100/Rohdaten!Z159,"–")</f>
        <v>12.5</v>
      </c>
    </row>
    <row r="160" customFormat="false" ht="15" hidden="false" customHeight="true" outlineLevel="0" collapsed="false">
      <c r="A160" s="4" t="str">
        <f aca="false">Rohdaten!A160</f>
        <v>Margarine, halbfett</v>
      </c>
      <c r="B160" s="8" t="n">
        <f aca="false">Rohdaten!C160</f>
        <v>1.7</v>
      </c>
      <c r="C160" s="8" t="n">
        <f aca="false">IFERROR(Rohdaten!C160*100/Rohdaten!G160,"–")</f>
        <v>0.320754716981132</v>
      </c>
      <c r="D160" s="8" t="n">
        <f aca="false">IFERROR(Rohdaten!C160*100/(Rohdaten!H160*9),"–")</f>
        <v>0.325670498084291</v>
      </c>
      <c r="E160" s="8" t="n">
        <f aca="false">IFERROR(Rohdaten!C160*100/(Rohdaten!I160*4),"–")</f>
        <v>212.5</v>
      </c>
      <c r="F160" s="8" t="n">
        <f aca="false">IFERROR(Rohdaten!C160*100/(Rohdaten!J160*4),"–")</f>
        <v>42.5</v>
      </c>
      <c r="G160" s="9" t="n">
        <f aca="false">IFERROR(Rohdaten!C160*100/Rohdaten!K160,"–")</f>
        <v>0.283333333333333</v>
      </c>
      <c r="H160" s="8" t="str">
        <f aca="false">IFERROR(Rohdaten!C160*100/Rohdaten!L160,"–")</f>
        <v>–</v>
      </c>
      <c r="I160" s="9" t="n">
        <f aca="false">IFERROR(Rohdaten!C160*100/Rohdaten!M160,"–")</f>
        <v>34</v>
      </c>
      <c r="J160" s="8" t="n">
        <f aca="false">IFERROR(Rohdaten!C160*100/Rohdaten!N160,"–")</f>
        <v>17</v>
      </c>
      <c r="K160" s="9" t="n">
        <f aca="false">IFERROR(Rohdaten!C160*100/Rohdaten!O160,"–")</f>
        <v>4.25</v>
      </c>
      <c r="L160" s="8" t="str">
        <f aca="false">IFERROR(Rohdaten!C160*100/Rohdaten!P160,"–")</f>
        <v>–</v>
      </c>
      <c r="M160" s="8" t="str">
        <f aca="false">IFERROR(Rohdaten!C160*100/Rohdaten!Q160,"–")</f>
        <v>–</v>
      </c>
      <c r="N160" s="8" t="str">
        <f aca="false">IFERROR(Rohdaten!C160*100/Rohdaten!R160,"–")</f>
        <v>–</v>
      </c>
      <c r="O160" s="8" t="str">
        <f aca="false">IFERROR(Rohdaten!C160*100/Rohdaten!S160,"–")</f>
        <v>–</v>
      </c>
      <c r="P160" s="9" t="str">
        <f aca="false">IFERROR(Rohdaten!C160*100/Rohdaten!T160,"–")</f>
        <v>–</v>
      </c>
      <c r="Q160" s="9" t="str">
        <f aca="false">IFERROR(Rohdaten!C160*100/Rohdaten!U160,"–")</f>
        <v>–</v>
      </c>
      <c r="R160" s="8" t="n">
        <f aca="false">IFERROR(Rohdaten!C160*100/Rohdaten!V160,"–")</f>
        <v>34</v>
      </c>
      <c r="S160" s="8" t="n">
        <f aca="false">IFERROR(Rohdaten!C160*100/Rohdaten!W160,"–")</f>
        <v>1700</v>
      </c>
      <c r="T160" s="8" t="n">
        <f aca="false">IFERROR(Rohdaten!C160*100/Rohdaten!X160,"–")</f>
        <v>170</v>
      </c>
      <c r="U160" s="8" t="n">
        <f aca="false">IFERROR(Rohdaten!C160*100/Rohdaten!Y160,"–")</f>
        <v>1700</v>
      </c>
      <c r="V160" s="8" t="n">
        <f aca="false">IFERROR(Rohdaten!C160*100/Rohdaten!Z160,"–")</f>
        <v>8.5</v>
      </c>
    </row>
    <row r="161" customFormat="false" ht="15" hidden="false" customHeight="true" outlineLevel="0" collapsed="false">
      <c r="A161" s="4" t="str">
        <f aca="false">Rohdaten!A161</f>
        <v>Olivenöl</v>
      </c>
      <c r="B161" s="8" t="n">
        <f aca="false">Rohdaten!C161</f>
        <v>3.2</v>
      </c>
      <c r="C161" s="8" t="n">
        <f aca="false">IFERROR(Rohdaten!C161*100/Rohdaten!G161,"–")</f>
        <v>0.388349514563107</v>
      </c>
      <c r="D161" s="8" t="n">
        <f aca="false">IFERROR(Rohdaten!C161*100/(Rohdaten!H161*9),"–")</f>
        <v>0.386473429951691</v>
      </c>
      <c r="E161" s="8" t="str">
        <f aca="false">IFERROR(Rohdaten!C161*100/(Rohdaten!I161*4),"–")</f>
        <v>–</v>
      </c>
      <c r="F161" s="8" t="str">
        <f aca="false">IFERROR(Rohdaten!C161*100/(Rohdaten!J161*4),"–")</f>
        <v>–</v>
      </c>
      <c r="G161" s="9" t="str">
        <f aca="false">IFERROR(Rohdaten!C161*100/Rohdaten!K161,"–")</f>
        <v>–</v>
      </c>
      <c r="H161" s="8" t="str">
        <f aca="false">IFERROR(Rohdaten!C161*100/Rohdaten!L161,"–")</f>
        <v>–</v>
      </c>
      <c r="I161" s="9" t="str">
        <f aca="false">IFERROR(Rohdaten!C161*100/Rohdaten!M161,"–")</f>
        <v>–</v>
      </c>
      <c r="J161" s="8" t="n">
        <f aca="false">IFERROR(Rohdaten!C161*100/Rohdaten!N161,"–")</f>
        <v>22.8571428571429</v>
      </c>
      <c r="K161" s="9" t="n">
        <f aca="false">IFERROR(Rohdaten!C161*100/Rohdaten!O161,"–")</f>
        <v>5.33333333333333</v>
      </c>
      <c r="L161" s="8" t="str">
        <f aca="false">IFERROR(Rohdaten!C161*100/Rohdaten!P161,"–")</f>
        <v>–</v>
      </c>
      <c r="M161" s="8" t="str">
        <f aca="false">IFERROR(Rohdaten!C161*100/Rohdaten!Q161,"–")</f>
        <v>–</v>
      </c>
      <c r="N161" s="8" t="str">
        <f aca="false">IFERROR(Rohdaten!C161*100/Rohdaten!R161,"–")</f>
        <v>–</v>
      </c>
      <c r="O161" s="8" t="str">
        <f aca="false">IFERROR(Rohdaten!C161*100/Rohdaten!S161,"–")</f>
        <v>–</v>
      </c>
      <c r="P161" s="9" t="str">
        <f aca="false">IFERROR(Rohdaten!C161*100/Rohdaten!T161,"–")</f>
        <v>–</v>
      </c>
      <c r="Q161" s="9" t="str">
        <f aca="false">IFERROR(Rohdaten!C161*100/Rohdaten!U161,"–")</f>
        <v>–</v>
      </c>
      <c r="R161" s="8" t="n">
        <f aca="false">IFERROR(Rohdaten!C161*100/Rohdaten!V161,"–")</f>
        <v>320</v>
      </c>
      <c r="S161" s="8" t="n">
        <f aca="false">IFERROR(Rohdaten!C161*100/Rohdaten!W161,"–")</f>
        <v>533.333333333333</v>
      </c>
      <c r="T161" s="8" t="str">
        <f aca="false">IFERROR(Rohdaten!C161*100/Rohdaten!X161,"–")</f>
        <v>–</v>
      </c>
      <c r="U161" s="8" t="str">
        <f aca="false">IFERROR(Rohdaten!C161*100/Rohdaten!Y161,"–")</f>
        <v>–</v>
      </c>
      <c r="V161" s="8" t="n">
        <f aca="false">IFERROR(Rohdaten!C161*100/Rohdaten!Z161,"–")</f>
        <v>320</v>
      </c>
    </row>
    <row r="162" customFormat="false" ht="15" hidden="false" customHeight="true" outlineLevel="0" collapsed="false">
      <c r="A162" s="4" t="str">
        <f aca="false">Rohdaten!A162</f>
        <v>Rapsöl, Durchschnitt</v>
      </c>
      <c r="B162" s="8" t="n">
        <f aca="false">Rohdaten!C162</f>
        <v>3.3</v>
      </c>
      <c r="C162" s="8" t="n">
        <f aca="false">IFERROR(Rohdaten!C162*100/Rohdaten!G162,"–")</f>
        <v>0.398550724637681</v>
      </c>
      <c r="D162" s="8" t="n">
        <f aca="false">IFERROR(Rohdaten!C162*100/(Rohdaten!H162*9),"–")</f>
        <v>0.398550724637681</v>
      </c>
      <c r="E162" s="8" t="str">
        <f aca="false">IFERROR(Rohdaten!C162*100/(Rohdaten!I162*4),"–")</f>
        <v>–</v>
      </c>
      <c r="F162" s="8" t="str">
        <f aca="false">IFERROR(Rohdaten!C162*100/(Rohdaten!J162*4),"–")</f>
        <v>–</v>
      </c>
      <c r="G162" s="9" t="str">
        <f aca="false">IFERROR(Rohdaten!C162*100/Rohdaten!K162,"–")</f>
        <v>–</v>
      </c>
      <c r="H162" s="8" t="str">
        <f aca="false">IFERROR(Rohdaten!C162*100/Rohdaten!L162,"–")</f>
        <v>–</v>
      </c>
      <c r="I162" s="9" t="str">
        <f aca="false">IFERROR(Rohdaten!C162*100/Rohdaten!M162,"–")</f>
        <v>–</v>
      </c>
      <c r="J162" s="8" t="n">
        <f aca="false">IFERROR(Rohdaten!C162*100/Rohdaten!N162,"–")</f>
        <v>19.4117647058824</v>
      </c>
      <c r="K162" s="9" t="n">
        <f aca="false">IFERROR(Rohdaten!C162*100/Rohdaten!O162,"–")</f>
        <v>4.64788732394366</v>
      </c>
      <c r="L162" s="8" t="str">
        <f aca="false">IFERROR(Rohdaten!C162*100/Rohdaten!P162,"–")</f>
        <v>–</v>
      </c>
      <c r="M162" s="8" t="str">
        <f aca="false">IFERROR(Rohdaten!C162*100/Rohdaten!Q162,"–")</f>
        <v>–</v>
      </c>
      <c r="N162" s="8" t="str">
        <f aca="false">IFERROR(Rohdaten!C162*100/Rohdaten!R162,"–")</f>
        <v>–</v>
      </c>
      <c r="O162" s="8" t="str">
        <f aca="false">IFERROR(Rohdaten!C162*100/Rohdaten!S162,"–")</f>
        <v>–</v>
      </c>
      <c r="P162" s="9" t="str">
        <f aca="false">IFERROR(Rohdaten!C162*100/Rohdaten!T162,"–")</f>
        <v>–</v>
      </c>
      <c r="Q162" s="9" t="str">
        <f aca="false">IFERROR(Rohdaten!C162*100/Rohdaten!U162,"–")</f>
        <v>–</v>
      </c>
      <c r="R162" s="8" t="str">
        <f aca="false">IFERROR(Rohdaten!C162*100/Rohdaten!V162,"–")</f>
        <v>–</v>
      </c>
      <c r="S162" s="8" t="str">
        <f aca="false">IFERROR(Rohdaten!C162*100/Rohdaten!W162,"–")</f>
        <v>–</v>
      </c>
      <c r="T162" s="8" t="str">
        <f aca="false">IFERROR(Rohdaten!C162*100/Rohdaten!X162,"–")</f>
        <v>–</v>
      </c>
      <c r="U162" s="8" t="str">
        <f aca="false">IFERROR(Rohdaten!C162*100/Rohdaten!Y162,"–")</f>
        <v>–</v>
      </c>
      <c r="V162" s="8" t="str">
        <f aca="false">IFERROR(Rohdaten!C162*100/Rohdaten!Z162,"–")</f>
        <v>–</v>
      </c>
    </row>
    <row r="163" customFormat="false" ht="15" hidden="false" customHeight="true" outlineLevel="0" collapsed="false">
      <c r="A163" s="4" t="str">
        <f aca="false">Rohdaten!A163</f>
        <v>Sonnenblumenöl</v>
      </c>
      <c r="B163" s="8" t="n">
        <f aca="false">Rohdaten!C163</f>
        <v>3.2</v>
      </c>
      <c r="C163" s="8" t="n">
        <f aca="false">IFERROR(Rohdaten!C163*100/Rohdaten!G163,"–")</f>
        <v>0.388349514563107</v>
      </c>
      <c r="D163" s="8" t="n">
        <f aca="false">IFERROR(Rohdaten!C163*100/(Rohdaten!H163*9),"–")</f>
        <v>0.386473429951691</v>
      </c>
      <c r="E163" s="8" t="str">
        <f aca="false">IFERROR(Rohdaten!C163*100/(Rohdaten!I163*4),"–")</f>
        <v>–</v>
      </c>
      <c r="F163" s="8" t="str">
        <f aca="false">IFERROR(Rohdaten!C163*100/(Rohdaten!J163*4),"–")</f>
        <v>–</v>
      </c>
      <c r="G163" s="9" t="str">
        <f aca="false">IFERROR(Rohdaten!C163*100/Rohdaten!K163,"–")</f>
        <v>–</v>
      </c>
      <c r="H163" s="8" t="str">
        <f aca="false">IFERROR(Rohdaten!C163*100/Rohdaten!L163,"–")</f>
        <v>–</v>
      </c>
      <c r="I163" s="9" t="str">
        <f aca="false">IFERROR(Rohdaten!C163*100/Rohdaten!M163,"–")</f>
        <v>–</v>
      </c>
      <c r="J163" s="8" t="n">
        <f aca="false">IFERROR(Rohdaten!C163*100/Rohdaten!N163,"–")</f>
        <v>6.53061224489796</v>
      </c>
      <c r="K163" s="9" t="n">
        <f aca="false">IFERROR(Rohdaten!C163*100/Rohdaten!O163,"–")</f>
        <v>64</v>
      </c>
      <c r="L163" s="8" t="str">
        <f aca="false">IFERROR(Rohdaten!C163*100/Rohdaten!P163,"–")</f>
        <v>–</v>
      </c>
      <c r="M163" s="8" t="str">
        <f aca="false">IFERROR(Rohdaten!C163*100/Rohdaten!Q163,"–")</f>
        <v>–</v>
      </c>
      <c r="N163" s="8" t="str">
        <f aca="false">IFERROR(Rohdaten!C163*100/Rohdaten!R163,"–")</f>
        <v>–</v>
      </c>
      <c r="O163" s="8" t="str">
        <f aca="false">IFERROR(Rohdaten!C163*100/Rohdaten!S163,"–")</f>
        <v>–</v>
      </c>
      <c r="P163" s="9" t="str">
        <f aca="false">IFERROR(Rohdaten!C163*100/Rohdaten!T163,"–")</f>
        <v>–</v>
      </c>
      <c r="Q163" s="9" t="str">
        <f aca="false">IFERROR(Rohdaten!C163*100/Rohdaten!U163,"–")</f>
        <v>–</v>
      </c>
      <c r="R163" s="8" t="str">
        <f aca="false">IFERROR(Rohdaten!C163*100/Rohdaten!V163,"–")</f>
        <v>–</v>
      </c>
      <c r="S163" s="8" t="n">
        <f aca="false">IFERROR(Rohdaten!C163*100/Rohdaten!W163,"–")</f>
        <v>3200</v>
      </c>
      <c r="T163" s="8" t="str">
        <f aca="false">IFERROR(Rohdaten!C163*100/Rohdaten!X163,"–")</f>
        <v>–</v>
      </c>
      <c r="U163" s="8" t="str">
        <f aca="false">IFERROR(Rohdaten!C163*100/Rohdaten!Y163,"–")</f>
        <v>–</v>
      </c>
      <c r="V163" s="8" t="n">
        <f aca="false">IFERROR(Rohdaten!C163*100/Rohdaten!Z163,"–")</f>
        <v>320</v>
      </c>
    </row>
    <row r="164" customFormat="false" ht="15" hidden="false" customHeight="true" outlineLevel="0" collapsed="false">
      <c r="A164" s="4" t="str">
        <f aca="false">Rohdaten!A164</f>
        <v>Honig</v>
      </c>
      <c r="B164" s="8" t="n">
        <f aca="false">Rohdaten!C164</f>
        <v>2</v>
      </c>
      <c r="C164" s="8" t="n">
        <f aca="false">IFERROR(Rohdaten!C164*100/Rohdaten!G164,"–")</f>
        <v>0.657894736842105</v>
      </c>
      <c r="D164" s="8" t="str">
        <f aca="false">IFERROR(Rohdaten!C164*100/(Rohdaten!H164*9),"–")</f>
        <v>–</v>
      </c>
      <c r="E164" s="8" t="n">
        <f aca="false">IFERROR(Rohdaten!C164*100/(Rohdaten!I164*4),"–")</f>
        <v>166.666666666667</v>
      </c>
      <c r="F164" s="8" t="n">
        <f aca="false">IFERROR(Rohdaten!C164*100/(Rohdaten!J164*4),"–")</f>
        <v>0.609756097560976</v>
      </c>
      <c r="G164" s="9" t="str">
        <f aca="false">IFERROR(Rohdaten!C164*100/Rohdaten!K164,"–")</f>
        <v>–</v>
      </c>
      <c r="H164" s="8" t="n">
        <f aca="false">IFERROR(Rohdaten!C164*100/Rohdaten!L164,"–")</f>
        <v>400</v>
      </c>
      <c r="I164" s="9" t="str">
        <f aca="false">IFERROR(Rohdaten!C164*100/Rohdaten!M164,"–")</f>
        <v>–</v>
      </c>
      <c r="J164" s="8" t="str">
        <f aca="false">IFERROR(Rohdaten!C164*100/Rohdaten!N164,"–")</f>
        <v>–</v>
      </c>
      <c r="K164" s="9" t="str">
        <f aca="false">IFERROR(Rohdaten!C164*100/Rohdaten!O164,"–")</f>
        <v>–</v>
      </c>
      <c r="L164" s="8" t="str">
        <f aca="false">IFERROR(Rohdaten!C164*100/Rohdaten!P164,"–")</f>
        <v>–</v>
      </c>
      <c r="M164" s="8" t="n">
        <f aca="false">IFERROR(Rohdaten!C164*100/Rohdaten!Q164,"–")</f>
        <v>5000</v>
      </c>
      <c r="N164" s="8" t="n">
        <f aca="false">IFERROR(Rohdaten!C164*100/Rohdaten!R164,"–")</f>
        <v>2000</v>
      </c>
      <c r="O164" s="8" t="n">
        <f aca="false">IFERROR(Rohdaten!C164*100/Rohdaten!S164,"–")</f>
        <v>10000</v>
      </c>
      <c r="P164" s="9" t="n">
        <f aca="false">IFERROR(Rohdaten!C164*100/Rohdaten!T164,"–")</f>
        <v>100</v>
      </c>
      <c r="Q164" s="9" t="str">
        <f aca="false">IFERROR(Rohdaten!C164*100/Rohdaten!U164,"–")</f>
        <v>–</v>
      </c>
      <c r="R164" s="8" t="n">
        <f aca="false">IFERROR(Rohdaten!C164*100/Rohdaten!V164,"–")</f>
        <v>33.3333333333333</v>
      </c>
      <c r="S164" s="8" t="n">
        <f aca="false">IFERROR(Rohdaten!C164*100/Rohdaten!W164,"–")</f>
        <v>500</v>
      </c>
      <c r="T164" s="8" t="n">
        <f aca="false">IFERROR(Rohdaten!C164*100/Rohdaten!X164,"–")</f>
        <v>100</v>
      </c>
      <c r="U164" s="8" t="n">
        <f aca="false">IFERROR(Rohdaten!C164*100/Rohdaten!Y164,"–")</f>
        <v>1000</v>
      </c>
      <c r="V164" s="8" t="n">
        <f aca="false">IFERROR(Rohdaten!C164*100/Rohdaten!Z164,"–")</f>
        <v>3.84615384615385</v>
      </c>
    </row>
    <row r="165" customFormat="false" ht="15" hidden="false" customHeight="true" outlineLevel="0" collapsed="false">
      <c r="A165" s="4" t="str">
        <f aca="false">Rohdaten!A165</f>
        <v>Kakaopulver</v>
      </c>
      <c r="B165" s="8" t="n">
        <f aca="false">Rohdaten!C165</f>
        <v>5</v>
      </c>
      <c r="C165" s="8" t="n">
        <f aca="false">IFERROR(Rohdaten!C165*100/Rohdaten!G165,"–")</f>
        <v>2.19298245614035</v>
      </c>
      <c r="D165" s="8" t="n">
        <f aca="false">IFERROR(Rohdaten!C165*100/(Rohdaten!H165*9),"–")</f>
        <v>3.96825396825397</v>
      </c>
      <c r="E165" s="8" t="n">
        <f aca="false">IFERROR(Rohdaten!C165*100/(Rohdaten!I165*4),"–")</f>
        <v>6.25</v>
      </c>
      <c r="F165" s="8" t="n">
        <f aca="false">IFERROR(Rohdaten!C165*100/(Rohdaten!J165*4),"–")</f>
        <v>2.1551724137931</v>
      </c>
      <c r="G165" s="9" t="n">
        <f aca="false">IFERROR(Rohdaten!C165*100/Rohdaten!K165,"–")</f>
        <v>166.666666666667</v>
      </c>
      <c r="H165" s="8" t="str">
        <f aca="false">IFERROR(Rohdaten!C165*100/Rohdaten!L165,"–")</f>
        <v>–</v>
      </c>
      <c r="I165" s="9" t="str">
        <f aca="false">IFERROR(Rohdaten!C165*100/Rohdaten!M165,"–")</f>
        <v>–</v>
      </c>
      <c r="J165" s="8" t="n">
        <f aca="false">IFERROR(Rohdaten!C165*100/Rohdaten!N165,"–")</f>
        <v>5000</v>
      </c>
      <c r="K165" s="9" t="n">
        <f aca="false">IFERROR(Rohdaten!C165*100/Rohdaten!O165,"–")</f>
        <v>166.666666666667</v>
      </c>
      <c r="L165" s="8" t="n">
        <f aca="false">IFERROR(Rohdaten!C165*100/Rohdaten!P165,"–")</f>
        <v>6250</v>
      </c>
      <c r="M165" s="8" t="n">
        <f aca="false">IFERROR(Rohdaten!C165*100/Rohdaten!Q165,"–")</f>
        <v>2500</v>
      </c>
      <c r="N165" s="8" t="n">
        <f aca="false">IFERROR(Rohdaten!C165*100/Rohdaten!R165,"–")</f>
        <v>227.272727272727</v>
      </c>
      <c r="O165" s="8" t="n">
        <f aca="false">IFERROR(Rohdaten!C165*100/Rohdaten!S165,"–")</f>
        <v>4166.66666666667</v>
      </c>
      <c r="P165" s="9" t="n">
        <f aca="false">IFERROR(Rohdaten!C165*100/Rohdaten!T165,"–")</f>
        <v>15.625</v>
      </c>
      <c r="Q165" s="9" t="str">
        <f aca="false">IFERROR(Rohdaten!C165*100/Rohdaten!U165,"–")</f>
        <v>–</v>
      </c>
      <c r="R165" s="8" t="n">
        <f aca="false">IFERROR(Rohdaten!C165*100/Rohdaten!V165,"–")</f>
        <v>3.90625</v>
      </c>
      <c r="S165" s="8" t="n">
        <f aca="false">IFERROR(Rohdaten!C165*100/Rohdaten!W165,"–")</f>
        <v>35.7142857142857</v>
      </c>
      <c r="T165" s="8" t="n">
        <f aca="false">IFERROR(Rohdaten!C165*100/Rohdaten!X165,"–")</f>
        <v>1.00200400801603</v>
      </c>
      <c r="U165" s="8" t="n">
        <f aca="false">IFERROR(Rohdaten!C165*100/Rohdaten!Y165,"–")</f>
        <v>73.5294117647059</v>
      </c>
      <c r="V165" s="8" t="n">
        <f aca="false">IFERROR(Rohdaten!C165*100/Rohdaten!Z165,"–")</f>
        <v>0.333333333333333</v>
      </c>
    </row>
    <row r="166" customFormat="false" ht="15" hidden="false" customHeight="true" outlineLevel="0" collapsed="false">
      <c r="A166" s="4" t="str">
        <f aca="false">Rohdaten!A166</f>
        <v>Schokolade, Vollmilch (35% Kakao)</v>
      </c>
      <c r="B166" s="8" t="n">
        <f aca="false">Rohdaten!C166</f>
        <v>4.1</v>
      </c>
      <c r="C166" s="8" t="n">
        <f aca="false">IFERROR(Rohdaten!C166*100/Rohdaten!G166,"–")</f>
        <v>0.767790262172285</v>
      </c>
      <c r="D166" s="8" t="n">
        <f aca="false">IFERROR(Rohdaten!C166*100/(Rohdaten!H166*9),"–")</f>
        <v>1.51851851851852</v>
      </c>
      <c r="E166" s="8" t="n">
        <f aca="false">IFERROR(Rohdaten!C166*100/(Rohdaten!I166*4),"–")</f>
        <v>13.4868421052632</v>
      </c>
      <c r="F166" s="8" t="n">
        <f aca="false">IFERROR(Rohdaten!C166*100/(Rohdaten!J166*4),"–")</f>
        <v>1.76724137931034</v>
      </c>
      <c r="G166" s="9" t="n">
        <f aca="false">IFERROR(Rohdaten!C166*100/Rohdaten!K166,"–")</f>
        <v>8.2</v>
      </c>
      <c r="H166" s="8" t="str">
        <f aca="false">IFERROR(Rohdaten!C166*100/Rohdaten!L166,"–")</f>
        <v>–</v>
      </c>
      <c r="I166" s="9" t="n">
        <f aca="false">IFERROR(Rohdaten!C166*100/Rohdaten!M166,"–")</f>
        <v>2050</v>
      </c>
      <c r="J166" s="8" t="n">
        <f aca="false">IFERROR(Rohdaten!C166*100/Rohdaten!N166,"–")</f>
        <v>585.714285714286</v>
      </c>
      <c r="K166" s="9" t="n">
        <f aca="false">IFERROR(Rohdaten!C166*100/Rohdaten!O166,"–")</f>
        <v>102.5</v>
      </c>
      <c r="L166" s="8" t="n">
        <f aca="false">IFERROR(Rohdaten!C166*100/Rohdaten!P166,"–")</f>
        <v>5125</v>
      </c>
      <c r="M166" s="8" t="n">
        <f aca="false">IFERROR(Rohdaten!C166*100/Rohdaten!Q166,"–")</f>
        <v>1640</v>
      </c>
      <c r="N166" s="8" t="n">
        <f aca="false">IFERROR(Rohdaten!C166*100/Rohdaten!R166,"–")</f>
        <v>820</v>
      </c>
      <c r="O166" s="8" t="n">
        <f aca="false">IFERROR(Rohdaten!C166*100/Rohdaten!S166,"–")</f>
        <v>8200</v>
      </c>
      <c r="P166" s="9" t="n">
        <f aca="false">IFERROR(Rohdaten!C166*100/Rohdaten!T166,"–")</f>
        <v>41</v>
      </c>
      <c r="Q166" s="9" t="n">
        <f aca="false">IFERROR(Rohdaten!C166*100/Rohdaten!U166,"–")</f>
        <v>1366.66666666667</v>
      </c>
      <c r="R166" s="8" t="n">
        <f aca="false">IFERROR(Rohdaten!C166*100/Rohdaten!V166,"–")</f>
        <v>1.86363636363636</v>
      </c>
      <c r="S166" s="8" t="n">
        <f aca="false">IFERROR(Rohdaten!C166*100/Rohdaten!W166,"–")</f>
        <v>273.333333333333</v>
      </c>
      <c r="T166" s="8" t="n">
        <f aca="false">IFERROR(Rohdaten!C166*100/Rohdaten!X166,"–")</f>
        <v>7.45454545454545</v>
      </c>
      <c r="U166" s="8" t="n">
        <f aca="false">IFERROR(Rohdaten!C166*100/Rohdaten!Y166,"–")</f>
        <v>410</v>
      </c>
      <c r="V166" s="8" t="n">
        <f aca="false">IFERROR(Rohdaten!C166*100/Rohdaten!Z166,"–")</f>
        <v>1.025</v>
      </c>
    </row>
    <row r="167" customFormat="false" ht="15" hidden="false" customHeight="true" outlineLevel="0" collapsed="false">
      <c r="A167" s="4" t="str">
        <f aca="false">Rohdaten!A167</f>
        <v>Zucker, Rohrzucker</v>
      </c>
      <c r="B167" s="8" t="n">
        <f aca="false">Rohdaten!C167</f>
        <v>1</v>
      </c>
      <c r="C167" s="8" t="n">
        <f aca="false">IFERROR(Rohdaten!C167*100/Rohdaten!G167,"–")</f>
        <v>0.25</v>
      </c>
      <c r="D167" s="8" t="str">
        <f aca="false">IFERROR(Rohdaten!C167*100/(Rohdaten!H167*9),"–")</f>
        <v>–</v>
      </c>
      <c r="E167" s="8" t="str">
        <f aca="false">IFERROR(Rohdaten!C167*100/(Rohdaten!I167*4),"–")</f>
        <v>–</v>
      </c>
      <c r="F167" s="8" t="n">
        <f aca="false">IFERROR(Rohdaten!C167*100/(Rohdaten!J167*4),"–")</f>
        <v>0.25</v>
      </c>
      <c r="G167" s="9" t="str">
        <f aca="false">IFERROR(Rohdaten!C167*100/Rohdaten!K167,"–")</f>
        <v>–</v>
      </c>
      <c r="H167" s="8" t="str">
        <f aca="false">IFERROR(Rohdaten!C167*100/Rohdaten!L167,"–")</f>
        <v>–</v>
      </c>
      <c r="I167" s="9" t="str">
        <f aca="false">IFERROR(Rohdaten!C167*100/Rohdaten!M167,"–")</f>
        <v>–</v>
      </c>
      <c r="J167" s="8" t="str">
        <f aca="false">IFERROR(Rohdaten!C167*100/Rohdaten!N167,"–")</f>
        <v>–</v>
      </c>
      <c r="K167" s="9" t="str">
        <f aca="false">IFERROR(Rohdaten!C167*100/Rohdaten!O167,"–")</f>
        <v>–</v>
      </c>
      <c r="L167" s="8" t="str">
        <f aca="false">IFERROR(Rohdaten!C167*100/Rohdaten!P167,"–")</f>
        <v>–</v>
      </c>
      <c r="M167" s="8" t="str">
        <f aca="false">IFERROR(Rohdaten!C167*100/Rohdaten!Q167,"–")</f>
        <v>–</v>
      </c>
      <c r="N167" s="8" t="str">
        <f aca="false">IFERROR(Rohdaten!C167*100/Rohdaten!R167,"–")</f>
        <v>–</v>
      </c>
      <c r="O167" s="8" t="str">
        <f aca="false">IFERROR(Rohdaten!C167*100/Rohdaten!S167,"–")</f>
        <v>–</v>
      </c>
      <c r="P167" s="9" t="str">
        <f aca="false">IFERROR(Rohdaten!C167*100/Rohdaten!T167,"–")</f>
        <v>–</v>
      </c>
      <c r="Q167" s="9" t="str">
        <f aca="false">IFERROR(Rohdaten!C167*100/Rohdaten!U167,"–")</f>
        <v>–</v>
      </c>
      <c r="R167" s="8" t="n">
        <f aca="false">IFERROR(Rohdaten!C167*100/Rohdaten!V167,"–")</f>
        <v>20</v>
      </c>
      <c r="S167" s="8" t="n">
        <f aca="false">IFERROR(Rohdaten!C167*100/Rohdaten!W167,"–")</f>
        <v>200</v>
      </c>
      <c r="T167" s="8" t="n">
        <f aca="false">IFERROR(Rohdaten!C167*100/Rohdaten!X167,"–")</f>
        <v>33.3333333333333</v>
      </c>
      <c r="U167" s="8" t="n">
        <f aca="false">IFERROR(Rohdaten!C167*100/Rohdaten!Y167,"–")</f>
        <v>1000</v>
      </c>
      <c r="V167" s="8" t="n">
        <f aca="false">IFERROR(Rohdaten!C167*100/Rohdaten!Z167,"–")</f>
        <v>5</v>
      </c>
    </row>
    <row r="168" customFormat="false" ht="15" hidden="false" customHeight="true" outlineLevel="0" collapsed="false">
      <c r="A168" s="4" t="str">
        <f aca="false">Rohdaten!A168</f>
        <v>Zucker (Bio), Rohrzucker</v>
      </c>
      <c r="B168" s="8" t="n">
        <f aca="false">Rohdaten!C168</f>
        <v>0.9</v>
      </c>
      <c r="C168" s="8" t="n">
        <f aca="false">IFERROR(Rohdaten!C168*100/Rohdaten!G168,"–")</f>
        <v>0.225</v>
      </c>
      <c r="D168" s="8" t="str">
        <f aca="false">IFERROR(Rohdaten!C168*100/(Rohdaten!H168*9),"–")</f>
        <v>–</v>
      </c>
      <c r="E168" s="8" t="str">
        <f aca="false">IFERROR(Rohdaten!C168*100/(Rohdaten!I168*4),"–")</f>
        <v>–</v>
      </c>
      <c r="F168" s="8" t="n">
        <f aca="false">IFERROR(Rohdaten!C168*100/(Rohdaten!J168*4),"–")</f>
        <v>0.225</v>
      </c>
      <c r="G168" s="9" t="str">
        <f aca="false">IFERROR(Rohdaten!C168*100/Rohdaten!K168,"–")</f>
        <v>–</v>
      </c>
      <c r="H168" s="8" t="str">
        <f aca="false">IFERROR(Rohdaten!C168*100/Rohdaten!L168,"–")</f>
        <v>–</v>
      </c>
      <c r="I168" s="9" t="str">
        <f aca="false">IFERROR(Rohdaten!C168*100/Rohdaten!M168,"–")</f>
        <v>–</v>
      </c>
      <c r="J168" s="8" t="str">
        <f aca="false">IFERROR(Rohdaten!C168*100/Rohdaten!N168,"–")</f>
        <v>–</v>
      </c>
      <c r="K168" s="9" t="str">
        <f aca="false">IFERROR(Rohdaten!C168*100/Rohdaten!O168,"–")</f>
        <v>–</v>
      </c>
      <c r="L168" s="8" t="str">
        <f aca="false">IFERROR(Rohdaten!C168*100/Rohdaten!P168,"–")</f>
        <v>–</v>
      </c>
      <c r="M168" s="8" t="str">
        <f aca="false">IFERROR(Rohdaten!C168*100/Rohdaten!Q168,"–")</f>
        <v>–</v>
      </c>
      <c r="N168" s="8" t="str">
        <f aca="false">IFERROR(Rohdaten!C168*100/Rohdaten!R168,"–")</f>
        <v>–</v>
      </c>
      <c r="O168" s="8" t="str">
        <f aca="false">IFERROR(Rohdaten!C168*100/Rohdaten!S168,"–")</f>
        <v>–</v>
      </c>
      <c r="P168" s="9" t="str">
        <f aca="false">IFERROR(Rohdaten!C168*100/Rohdaten!T168,"–")</f>
        <v>–</v>
      </c>
      <c r="Q168" s="9" t="str">
        <f aca="false">IFERROR(Rohdaten!C168*100/Rohdaten!U168,"–")</f>
        <v>–</v>
      </c>
      <c r="R168" s="8" t="n">
        <f aca="false">IFERROR(Rohdaten!C168*100/Rohdaten!V168,"–")</f>
        <v>18</v>
      </c>
      <c r="S168" s="8" t="n">
        <f aca="false">IFERROR(Rohdaten!C168*100/Rohdaten!W168,"–")</f>
        <v>180</v>
      </c>
      <c r="T168" s="8" t="n">
        <f aca="false">IFERROR(Rohdaten!C168*100/Rohdaten!X168,"–")</f>
        <v>30</v>
      </c>
      <c r="U168" s="8" t="n">
        <f aca="false">IFERROR(Rohdaten!C168*100/Rohdaten!Y168,"–")</f>
        <v>900</v>
      </c>
      <c r="V168" s="8" t="n">
        <f aca="false">IFERROR(Rohdaten!C168*100/Rohdaten!Z168,"–")</f>
        <v>4.5</v>
      </c>
    </row>
    <row r="169" customFormat="false" ht="15" hidden="false" customHeight="true" outlineLevel="0" collapsed="false">
      <c r="A169" s="4" t="str">
        <f aca="false">Rohdaten!A169</f>
        <v>Kaffeepulver, geröstet</v>
      </c>
      <c r="B169" s="8" t="n">
        <f aca="false">Rohdaten!C169</f>
        <v>5.6</v>
      </c>
      <c r="C169" s="8" t="n">
        <f aca="false">IFERROR(Rohdaten!C169*100/Rohdaten!G169,"–")</f>
        <v>1.69184290030211</v>
      </c>
      <c r="D169" s="8" t="n">
        <f aca="false">IFERROR(Rohdaten!C169*100/(Rohdaten!H169*9),"–")</f>
        <v>2.96296296296296</v>
      </c>
      <c r="E169" s="8" t="n">
        <f aca="false">IFERROR(Rohdaten!C169*100/(Rohdaten!I169*4),"–")</f>
        <v>10</v>
      </c>
      <c r="F169" s="8" t="str">
        <f aca="false">IFERROR(Rohdaten!C169*100/(Rohdaten!J169*4),"–")</f>
        <v>–</v>
      </c>
      <c r="G169" s="9" t="str">
        <f aca="false">IFERROR(Rohdaten!C169*100/Rohdaten!K169,"–")</f>
        <v>–</v>
      </c>
      <c r="H169" s="8" t="str">
        <f aca="false">IFERROR(Rohdaten!C169*100/Rohdaten!L169,"–")</f>
        <v>–</v>
      </c>
      <c r="I169" s="9" t="str">
        <f aca="false">IFERROR(Rohdaten!C169*100/Rohdaten!M169,"–")</f>
        <v>–</v>
      </c>
      <c r="J169" s="8" t="str">
        <f aca="false">IFERROR(Rohdaten!C169*100/Rohdaten!N169,"–")</f>
        <v>–</v>
      </c>
      <c r="K169" s="9" t="str">
        <f aca="false">IFERROR(Rohdaten!C169*100/Rohdaten!O169,"–")</f>
        <v>–</v>
      </c>
      <c r="L169" s="8" t="n">
        <f aca="false">IFERROR(Rohdaten!C169*100/Rohdaten!P169,"–")</f>
        <v>56000</v>
      </c>
      <c r="M169" s="8" t="n">
        <f aca="false">IFERROR(Rohdaten!C169*100/Rohdaten!Q169,"–")</f>
        <v>2800</v>
      </c>
      <c r="N169" s="8" t="n">
        <f aca="false">IFERROR(Rohdaten!C169*100/Rohdaten!R169,"–")</f>
        <v>40</v>
      </c>
      <c r="O169" s="8" t="n">
        <f aca="false">IFERROR(Rohdaten!C169*100/Rohdaten!S169,"–")</f>
        <v>18666.6666666667</v>
      </c>
      <c r="P169" s="9" t="str">
        <f aca="false">IFERROR(Rohdaten!C169*100/Rohdaten!T169,"–")</f>
        <v>–</v>
      </c>
      <c r="Q169" s="9" t="str">
        <f aca="false">IFERROR(Rohdaten!C169*100/Rohdaten!U169,"–")</f>
        <v>–</v>
      </c>
      <c r="R169" s="8" t="n">
        <f aca="false">IFERROR(Rohdaten!C169*100/Rohdaten!V169,"–")</f>
        <v>4</v>
      </c>
      <c r="S169" s="8" t="n">
        <f aca="false">IFERROR(Rohdaten!C169*100/Rohdaten!W169,"–")</f>
        <v>140</v>
      </c>
      <c r="T169" s="8" t="n">
        <f aca="false">IFERROR(Rohdaten!C169*100/Rohdaten!X169,"–")</f>
        <v>3.29411764705882</v>
      </c>
      <c r="U169" s="8" t="n">
        <f aca="false">IFERROR(Rohdaten!C169*100/Rohdaten!Y169,"–")</f>
        <v>1120</v>
      </c>
      <c r="V169" s="8" t="n">
        <f aca="false">IFERROR(Rohdaten!C169*100/Rohdaten!Z169,"–")</f>
        <v>0.28</v>
      </c>
    </row>
    <row r="170" customFormat="false" ht="15" hidden="false" customHeight="true" outlineLevel="0" collapsed="false">
      <c r="A170" s="4" t="str">
        <f aca="false">Rohdaten!A170</f>
        <v>Bier (0,5l Glas-Mehrweg)</v>
      </c>
      <c r="B170" s="8" t="n">
        <f aca="false">Rohdaten!C170</f>
        <v>0.9</v>
      </c>
      <c r="C170" s="8" t="n">
        <f aca="false">IFERROR(Rohdaten!C170*100/Rohdaten!G170,"–")</f>
        <v>2.09302325581395</v>
      </c>
      <c r="D170" s="8" t="str">
        <f aca="false">IFERROR(Rohdaten!C170*100/(Rohdaten!H170*9),"–")</f>
        <v>–</v>
      </c>
      <c r="E170" s="8" t="n">
        <f aca="false">IFERROR(Rohdaten!C170*100/(Rohdaten!I170*4),"–")</f>
        <v>45</v>
      </c>
      <c r="F170" s="8" t="n">
        <f aca="false">IFERROR(Rohdaten!C170*100/(Rohdaten!J170*4),"–")</f>
        <v>6.42857142857143</v>
      </c>
      <c r="G170" s="9" t="str">
        <f aca="false">IFERROR(Rohdaten!C170*100/Rohdaten!K170,"–")</f>
        <v>–</v>
      </c>
      <c r="H170" s="8" t="str">
        <f aca="false">IFERROR(Rohdaten!C170*100/Rohdaten!L170,"–")</f>
        <v>–</v>
      </c>
      <c r="I170" s="9" t="str">
        <f aca="false">IFERROR(Rohdaten!C170*100/Rohdaten!M170,"–")</f>
        <v>–</v>
      </c>
      <c r="J170" s="8" t="str">
        <f aca="false">IFERROR(Rohdaten!C170*100/Rohdaten!N170,"–")</f>
        <v>–</v>
      </c>
      <c r="K170" s="9" t="str">
        <f aca="false">IFERROR(Rohdaten!C170*100/Rohdaten!O170,"–")</f>
        <v>–</v>
      </c>
      <c r="L170" s="8" t="n">
        <f aca="false">IFERROR(Rohdaten!C170*100/Rohdaten!P170,"–")</f>
        <v>9000</v>
      </c>
      <c r="M170" s="8" t="n">
        <f aca="false">IFERROR(Rohdaten!C170*100/Rohdaten!Q170,"–")</f>
        <v>3000</v>
      </c>
      <c r="N170" s="8" t="n">
        <f aca="false">IFERROR(Rohdaten!C170*100/Rohdaten!R170,"–")</f>
        <v>150</v>
      </c>
      <c r="O170" s="8" t="n">
        <f aca="false">IFERROR(Rohdaten!C170*100/Rohdaten!S170,"–")</f>
        <v>1800</v>
      </c>
      <c r="P170" s="9" t="n">
        <f aca="false">IFERROR(Rohdaten!C170*100/Rohdaten!T170,"–")</f>
        <v>15</v>
      </c>
      <c r="Q170" s="9" t="str">
        <f aca="false">IFERROR(Rohdaten!C170*100/Rohdaten!U170,"–")</f>
        <v>–</v>
      </c>
      <c r="R170" s="8" t="n">
        <f aca="false">IFERROR(Rohdaten!C170*100/Rohdaten!V170,"–")</f>
        <v>18</v>
      </c>
      <c r="S170" s="8" t="n">
        <f aca="false">IFERROR(Rohdaten!C170*100/Rohdaten!W170,"–")</f>
        <v>4500</v>
      </c>
      <c r="T170" s="8" t="n">
        <f aca="false">IFERROR(Rohdaten!C170*100/Rohdaten!X170,"–")</f>
        <v>12.8571428571429</v>
      </c>
      <c r="U170" s="8" t="n">
        <f aca="false">IFERROR(Rohdaten!C170*100/Rohdaten!Y170,"–")</f>
        <v>4500</v>
      </c>
      <c r="V170" s="8" t="n">
        <f aca="false">IFERROR(Rohdaten!C170*100/Rohdaten!Z170,"–")</f>
        <v>3.33333333333333</v>
      </c>
    </row>
    <row r="171" customFormat="false" ht="15" hidden="false" customHeight="true" outlineLevel="0" collapsed="false">
      <c r="A171" s="4" t="str">
        <f aca="false">Rohdaten!A171</f>
        <v>Bier (0,5l Dose)</v>
      </c>
      <c r="B171" s="8" t="n">
        <f aca="false">Rohdaten!C171</f>
        <v>1</v>
      </c>
      <c r="C171" s="8" t="n">
        <f aca="false">IFERROR(Rohdaten!C171*100/Rohdaten!G171,"–")</f>
        <v>2.32558139534884</v>
      </c>
      <c r="D171" s="8" t="str">
        <f aca="false">IFERROR(Rohdaten!C171*100/(Rohdaten!H171*9),"–")</f>
        <v>–</v>
      </c>
      <c r="E171" s="8" t="n">
        <f aca="false">IFERROR(Rohdaten!C171*100/(Rohdaten!I171*4),"–")</f>
        <v>50</v>
      </c>
      <c r="F171" s="8" t="n">
        <f aca="false">IFERROR(Rohdaten!C171*100/(Rohdaten!J171*4),"–")</f>
        <v>7.14285714285714</v>
      </c>
      <c r="G171" s="9" t="str">
        <f aca="false">IFERROR(Rohdaten!C171*100/Rohdaten!K171,"–")</f>
        <v>–</v>
      </c>
      <c r="H171" s="8" t="str">
        <f aca="false">IFERROR(Rohdaten!C171*100/Rohdaten!L171,"–")</f>
        <v>–</v>
      </c>
      <c r="I171" s="9" t="str">
        <f aca="false">IFERROR(Rohdaten!C171*100/Rohdaten!M171,"–")</f>
        <v>–</v>
      </c>
      <c r="J171" s="8" t="str">
        <f aca="false">IFERROR(Rohdaten!C171*100/Rohdaten!N171,"–")</f>
        <v>–</v>
      </c>
      <c r="K171" s="9" t="str">
        <f aca="false">IFERROR(Rohdaten!C171*100/Rohdaten!O171,"–")</f>
        <v>–</v>
      </c>
      <c r="L171" s="8" t="n">
        <f aca="false">IFERROR(Rohdaten!C171*100/Rohdaten!P171,"–")</f>
        <v>10000</v>
      </c>
      <c r="M171" s="8" t="n">
        <f aca="false">IFERROR(Rohdaten!C171*100/Rohdaten!Q171,"–")</f>
        <v>3333.33333333333</v>
      </c>
      <c r="N171" s="8" t="n">
        <f aca="false">IFERROR(Rohdaten!C171*100/Rohdaten!R171,"–")</f>
        <v>166.666666666667</v>
      </c>
      <c r="O171" s="8" t="n">
        <f aca="false">IFERROR(Rohdaten!C171*100/Rohdaten!S171,"–")</f>
        <v>2000</v>
      </c>
      <c r="P171" s="9" t="n">
        <f aca="false">IFERROR(Rohdaten!C171*100/Rohdaten!T171,"–")</f>
        <v>16.6666666666667</v>
      </c>
      <c r="Q171" s="9" t="str">
        <f aca="false">IFERROR(Rohdaten!C171*100/Rohdaten!U171,"–")</f>
        <v>–</v>
      </c>
      <c r="R171" s="8" t="n">
        <f aca="false">IFERROR(Rohdaten!C171*100/Rohdaten!V171,"–")</f>
        <v>20</v>
      </c>
      <c r="S171" s="8" t="n">
        <f aca="false">IFERROR(Rohdaten!C171*100/Rohdaten!W171,"–")</f>
        <v>5000</v>
      </c>
      <c r="T171" s="8" t="n">
        <f aca="false">IFERROR(Rohdaten!C171*100/Rohdaten!X171,"–")</f>
        <v>14.2857142857143</v>
      </c>
      <c r="U171" s="8" t="n">
        <f aca="false">IFERROR(Rohdaten!C171*100/Rohdaten!Y171,"–")</f>
        <v>5000</v>
      </c>
      <c r="V171" s="8" t="n">
        <f aca="false">IFERROR(Rohdaten!C171*100/Rohdaten!Z171,"–")</f>
        <v>3.7037037037037</v>
      </c>
    </row>
    <row r="172" customFormat="false" ht="15" hidden="false" customHeight="true" outlineLevel="0" collapsed="false">
      <c r="A172" s="4" t="str">
        <f aca="false">Rohdaten!A172</f>
        <v>Wein (0,75l Glas-Einweg)</v>
      </c>
      <c r="B172" s="8" t="n">
        <f aca="false">Rohdaten!C172</f>
        <v>1</v>
      </c>
      <c r="C172" s="8" t="n">
        <f aca="false">IFERROR(Rohdaten!C172*100/Rohdaten!G172,"–")</f>
        <v>1.17647058823529</v>
      </c>
      <c r="D172" s="8" t="str">
        <f aca="false">IFERROR(Rohdaten!C172*100/(Rohdaten!H172*9),"–")</f>
        <v>–</v>
      </c>
      <c r="E172" s="8" t="n">
        <f aca="false">IFERROR(Rohdaten!C172*100/(Rohdaten!I172*4),"–")</f>
        <v>250</v>
      </c>
      <c r="F172" s="8" t="n">
        <f aca="false">IFERROR(Rohdaten!C172*100/(Rohdaten!J172*4),"–")</f>
        <v>9.61538461538462</v>
      </c>
      <c r="G172" s="9" t="str">
        <f aca="false">IFERROR(Rohdaten!C172*100/Rohdaten!K172,"–")</f>
        <v>–</v>
      </c>
      <c r="H172" s="8" t="str">
        <f aca="false">IFERROR(Rohdaten!C172*100/Rohdaten!L172,"–")</f>
        <v>–</v>
      </c>
      <c r="I172" s="9" t="str">
        <f aca="false">IFERROR(Rohdaten!C172*100/Rohdaten!M172,"–")</f>
        <v>–</v>
      </c>
      <c r="J172" s="8" t="str">
        <f aca="false">IFERROR(Rohdaten!C172*100/Rohdaten!N172,"–")</f>
        <v>–</v>
      </c>
      <c r="K172" s="9" t="str">
        <f aca="false">IFERROR(Rohdaten!C172*100/Rohdaten!O172,"–")</f>
        <v>–</v>
      </c>
      <c r="L172" s="8" t="str">
        <f aca="false">IFERROR(Rohdaten!C172*100/Rohdaten!P172,"–")</f>
        <v>–</v>
      </c>
      <c r="M172" s="8" t="n">
        <f aca="false">IFERROR(Rohdaten!C172*100/Rohdaten!Q172,"–")</f>
        <v>10000</v>
      </c>
      <c r="N172" s="8" t="n">
        <f aca="false">IFERROR(Rohdaten!C172*100/Rohdaten!R172,"–")</f>
        <v>1000</v>
      </c>
      <c r="O172" s="8" t="n">
        <f aca="false">IFERROR(Rohdaten!C172*100/Rohdaten!S172,"–")</f>
        <v>3333.33333333333</v>
      </c>
      <c r="P172" s="9" t="n">
        <f aca="false">IFERROR(Rohdaten!C172*100/Rohdaten!T172,"–")</f>
        <v>50</v>
      </c>
      <c r="Q172" s="9" t="str">
        <f aca="false">IFERROR(Rohdaten!C172*100/Rohdaten!U172,"–")</f>
        <v>–</v>
      </c>
      <c r="R172" s="8" t="n">
        <f aca="false">IFERROR(Rohdaten!C172*100/Rohdaten!V172,"–")</f>
        <v>12.5</v>
      </c>
      <c r="S172" s="8" t="n">
        <f aca="false">IFERROR(Rohdaten!C172*100/Rohdaten!W172,"–")</f>
        <v>200</v>
      </c>
      <c r="T172" s="8" t="n">
        <f aca="false">IFERROR(Rohdaten!C172*100/Rohdaten!X172,"–")</f>
        <v>10</v>
      </c>
      <c r="U172" s="8" t="n">
        <f aca="false">IFERROR(Rohdaten!C172*100/Rohdaten!Y172,"–")</f>
        <v>1000</v>
      </c>
      <c r="V172" s="8" t="n">
        <f aca="false">IFERROR(Rohdaten!C172*100/Rohdaten!Z172,"–")</f>
        <v>1</v>
      </c>
    </row>
    <row r="173" customFormat="false" ht="15" hidden="false" customHeight="true" outlineLevel="0" collapsed="false">
      <c r="A173" s="4" t="str">
        <f aca="false">Rohdaten!A173</f>
        <v>Apfelsaft (1l)</v>
      </c>
      <c r="B173" s="8" t="n">
        <f aca="false">Rohdaten!C173</f>
        <v>0.4</v>
      </c>
      <c r="C173" s="8" t="n">
        <f aca="false">IFERROR(Rohdaten!C173*100/Rohdaten!G173,"–")</f>
        <v>0.869565217391304</v>
      </c>
      <c r="D173" s="8" t="n">
        <f aca="false">IFERROR(Rohdaten!C173*100/(Rohdaten!H173*9),"–")</f>
        <v>44.4444444444444</v>
      </c>
      <c r="E173" s="8" t="n">
        <f aca="false">IFERROR(Rohdaten!C173*100/(Rohdaten!I173*4),"–")</f>
        <v>100</v>
      </c>
      <c r="F173" s="8" t="n">
        <f aca="false">IFERROR(Rohdaten!C173*100/(Rohdaten!J173*4),"–")</f>
        <v>0.909090909090909</v>
      </c>
      <c r="G173" s="9" t="str">
        <f aca="false">IFERROR(Rohdaten!C173*100/Rohdaten!K173,"–")</f>
        <v>–</v>
      </c>
      <c r="H173" s="8" t="n">
        <f aca="false">IFERROR(Rohdaten!C173*100/Rohdaten!L173,"–")</f>
        <v>40</v>
      </c>
      <c r="I173" s="9" t="str">
        <f aca="false">IFERROR(Rohdaten!C173*100/Rohdaten!M173,"–")</f>
        <v>–</v>
      </c>
      <c r="J173" s="8" t="str">
        <f aca="false">IFERROR(Rohdaten!C173*100/Rohdaten!N173,"–")</f>
        <v>–</v>
      </c>
      <c r="K173" s="9" t="str">
        <f aca="false">IFERROR(Rohdaten!C173*100/Rohdaten!O173,"–")</f>
        <v>–</v>
      </c>
      <c r="L173" s="8" t="n">
        <f aca="false">IFERROR(Rohdaten!C173*100/Rohdaten!P173,"–")</f>
        <v>4000</v>
      </c>
      <c r="M173" s="8" t="n">
        <f aca="false">IFERROR(Rohdaten!C173*100/Rohdaten!Q173,"–")</f>
        <v>4000</v>
      </c>
      <c r="N173" s="8" t="n">
        <f aca="false">IFERROR(Rohdaten!C173*100/Rohdaten!R173,"–")</f>
        <v>400</v>
      </c>
      <c r="O173" s="8" t="n">
        <f aca="false">IFERROR(Rohdaten!C173*100/Rohdaten!S173,"–")</f>
        <v>2000</v>
      </c>
      <c r="P173" s="9" t="str">
        <f aca="false">IFERROR(Rohdaten!C173*100/Rohdaten!T173,"–")</f>
        <v>–</v>
      </c>
      <c r="Q173" s="9" t="str">
        <f aca="false">IFERROR(Rohdaten!C173*100/Rohdaten!U173,"–")</f>
        <v>–</v>
      </c>
      <c r="R173" s="8" t="n">
        <f aca="false">IFERROR(Rohdaten!C173*100/Rohdaten!V173,"–")</f>
        <v>6.66666666666667</v>
      </c>
      <c r="S173" s="8" t="n">
        <f aca="false">IFERROR(Rohdaten!C173*100/Rohdaten!W173,"–")</f>
        <v>133.333333333333</v>
      </c>
      <c r="T173" s="8" t="n">
        <f aca="false">IFERROR(Rohdaten!C173*100/Rohdaten!X173,"–")</f>
        <v>8</v>
      </c>
      <c r="U173" s="8" t="n">
        <f aca="false">IFERROR(Rohdaten!C173*100/Rohdaten!Y173,"–")</f>
        <v>1000</v>
      </c>
      <c r="V173" s="8" t="n">
        <f aca="false">IFERROR(Rohdaten!C173*100/Rohdaten!Z173,"–")</f>
        <v>0.363636363636364</v>
      </c>
    </row>
    <row r="174" customFormat="false" ht="15" hidden="false" customHeight="true" outlineLevel="0" collapsed="false">
      <c r="A174" s="4" t="str">
        <f aca="false">Rohdaten!A174</f>
        <v>Orangensaft (1l)</v>
      </c>
      <c r="B174" s="8" t="n">
        <f aca="false">Rohdaten!C174</f>
        <v>0.7</v>
      </c>
      <c r="C174" s="8" t="n">
        <f aca="false">IFERROR(Rohdaten!C174*100/Rohdaten!G174,"–")</f>
        <v>1.55555555555556</v>
      </c>
      <c r="D174" s="8" t="n">
        <f aca="false">IFERROR(Rohdaten!C174*100/(Rohdaten!H174*9),"–")</f>
        <v>38.8888888888889</v>
      </c>
      <c r="E174" s="8" t="n">
        <f aca="false">IFERROR(Rohdaten!C174*100/(Rohdaten!I174*4),"–")</f>
        <v>25</v>
      </c>
      <c r="F174" s="8" t="n">
        <f aca="false">IFERROR(Rohdaten!C174*100/(Rohdaten!J174*4),"–")</f>
        <v>1.75</v>
      </c>
      <c r="G174" s="9" t="n">
        <f aca="false">IFERROR(Rohdaten!C174*100/Rohdaten!K174,"–")</f>
        <v>23.3333333333333</v>
      </c>
      <c r="H174" s="8" t="n">
        <f aca="false">IFERROR(Rohdaten!C174*100/Rohdaten!L174,"–")</f>
        <v>1.75</v>
      </c>
      <c r="I174" s="9" t="str">
        <f aca="false">IFERROR(Rohdaten!C174*100/Rohdaten!M174,"–")</f>
        <v>–</v>
      </c>
      <c r="J174" s="8" t="n">
        <f aca="false">IFERROR(Rohdaten!C174*100/Rohdaten!N174,"–")</f>
        <v>700</v>
      </c>
      <c r="K174" s="9" t="str">
        <f aca="false">IFERROR(Rohdaten!C174*100/Rohdaten!O174,"–")</f>
        <v>–</v>
      </c>
      <c r="L174" s="8" t="n">
        <f aca="false">IFERROR(Rohdaten!C174*100/Rohdaten!P174,"–")</f>
        <v>1166.66666666667</v>
      </c>
      <c r="M174" s="8" t="n">
        <f aca="false">IFERROR(Rohdaten!C174*100/Rohdaten!Q174,"–")</f>
        <v>3500</v>
      </c>
      <c r="N174" s="8" t="n">
        <f aca="false">IFERROR(Rohdaten!C174*100/Rohdaten!R174,"–")</f>
        <v>350</v>
      </c>
      <c r="O174" s="8" t="n">
        <f aca="false">IFERROR(Rohdaten!C174*100/Rohdaten!S174,"–")</f>
        <v>1750</v>
      </c>
      <c r="P174" s="9" t="n">
        <f aca="false">IFERROR(Rohdaten!C174*100/Rohdaten!T174,"–")</f>
        <v>3.5</v>
      </c>
      <c r="Q174" s="9" t="str">
        <f aca="false">IFERROR(Rohdaten!C174*100/Rohdaten!U174,"–")</f>
        <v>–</v>
      </c>
      <c r="R174" s="8" t="n">
        <f aca="false">IFERROR(Rohdaten!C174*100/Rohdaten!V174,"–")</f>
        <v>6.36363636363636</v>
      </c>
      <c r="S174" s="8" t="n">
        <f aca="false">IFERROR(Rohdaten!C174*100/Rohdaten!W174,"–")</f>
        <v>350</v>
      </c>
      <c r="T174" s="8" t="n">
        <f aca="false">IFERROR(Rohdaten!C174*100/Rohdaten!X174,"–")</f>
        <v>7</v>
      </c>
      <c r="U174" s="8" t="n">
        <f aca="false">IFERROR(Rohdaten!C174*100/Rohdaten!Y174,"–")</f>
        <v>1400</v>
      </c>
      <c r="V174" s="8" t="n">
        <f aca="false">IFERROR(Rohdaten!C174*100/Rohdaten!Z174,"–")</f>
        <v>0.388888888888889</v>
      </c>
    </row>
    <row r="175" customFormat="false" ht="15" hidden="false" customHeight="true" outlineLevel="0" collapsed="false">
      <c r="A175" s="4" t="str">
        <f aca="false">Rohdaten!A175</f>
        <v>Limonade (0,75l)</v>
      </c>
      <c r="B175" s="8" t="n">
        <f aca="false">Rohdaten!C175</f>
        <v>0.4</v>
      </c>
      <c r="C175" s="8" t="n">
        <f aca="false">IFERROR(Rohdaten!C175*100/Rohdaten!G175,"–")</f>
        <v>0.952380952380952</v>
      </c>
      <c r="D175" s="8" t="str">
        <f aca="false">IFERROR(Rohdaten!C175*100/(Rohdaten!H175*9),"–")</f>
        <v>–</v>
      </c>
      <c r="E175" s="8" t="str">
        <f aca="false">IFERROR(Rohdaten!C175*100/(Rohdaten!I175*4),"–")</f>
        <v>–</v>
      </c>
      <c r="F175" s="8" t="n">
        <f aca="false">IFERROR(Rohdaten!C175*100/(Rohdaten!J175*4),"–")</f>
        <v>0.952380952380952</v>
      </c>
      <c r="G175" s="9" t="str">
        <f aca="false">IFERROR(Rohdaten!C175*100/Rohdaten!K175,"–")</f>
        <v>–</v>
      </c>
      <c r="H175" s="8" t="str">
        <f aca="false">IFERROR(Rohdaten!C175*100/Rohdaten!L175,"–")</f>
        <v>–</v>
      </c>
      <c r="I175" s="9" t="str">
        <f aca="false">IFERROR(Rohdaten!C175*100/Rohdaten!M175,"–")</f>
        <v>–</v>
      </c>
      <c r="J175" s="8" t="str">
        <f aca="false">IFERROR(Rohdaten!C175*100/Rohdaten!N175,"–")</f>
        <v>–</v>
      </c>
      <c r="K175" s="9" t="str">
        <f aca="false">IFERROR(Rohdaten!C175*100/Rohdaten!O175,"–")</f>
        <v>–</v>
      </c>
      <c r="L175" s="8" t="str">
        <f aca="false">IFERROR(Rohdaten!C175*100/Rohdaten!P175,"–")</f>
        <v>–</v>
      </c>
      <c r="M175" s="8" t="str">
        <f aca="false">IFERROR(Rohdaten!C175*100/Rohdaten!Q175,"–")</f>
        <v>–</v>
      </c>
      <c r="N175" s="8" t="str">
        <f aca="false">IFERROR(Rohdaten!C175*100/Rohdaten!R175,"–")</f>
        <v>–</v>
      </c>
      <c r="O175" s="8" t="str">
        <f aca="false">IFERROR(Rohdaten!C175*100/Rohdaten!S175,"–")</f>
        <v>–</v>
      </c>
      <c r="P175" s="9" t="str">
        <f aca="false">IFERROR(Rohdaten!C175*100/Rohdaten!T175,"–")</f>
        <v>–</v>
      </c>
      <c r="Q175" s="9" t="str">
        <f aca="false">IFERROR(Rohdaten!C175*100/Rohdaten!U175,"–")</f>
        <v>–</v>
      </c>
      <c r="R175" s="8" t="n">
        <f aca="false">IFERROR(Rohdaten!C175*100/Rohdaten!V175,"–")</f>
        <v>13.3333333333333</v>
      </c>
      <c r="S175" s="8" t="n">
        <f aca="false">IFERROR(Rohdaten!C175*100/Rohdaten!W175,"–")</f>
        <v>2000</v>
      </c>
      <c r="T175" s="8" t="n">
        <f aca="false">IFERROR(Rohdaten!C175*100/Rohdaten!X175,"–")</f>
        <v>20</v>
      </c>
      <c r="U175" s="8" t="n">
        <f aca="false">IFERROR(Rohdaten!C175*100/Rohdaten!Y175,"–")</f>
        <v>2000</v>
      </c>
      <c r="V175" s="8" t="n">
        <f aca="false">IFERROR(Rohdaten!C175*100/Rohdaten!Z175,"–")</f>
        <v>13.3333333333333</v>
      </c>
    </row>
    <row r="176" customFormat="false" ht="15" hidden="false" customHeight="true" outlineLevel="0" collapsed="false">
      <c r="A176" s="4" t="str">
        <f aca="false">Rohdaten!A176</f>
        <v>Mineralwasser (0,7l Glas-Mehrweg)</v>
      </c>
      <c r="B176" s="8" t="n">
        <f aca="false">Rohdaten!C176</f>
        <v>0.2</v>
      </c>
      <c r="C176" s="8" t="str">
        <f aca="false">IFERROR(Rohdaten!C176*100/Rohdaten!G176,"–")</f>
        <v>–</v>
      </c>
      <c r="D176" s="8" t="str">
        <f aca="false">IFERROR(Rohdaten!C176*100/(Rohdaten!H176*9),"–")</f>
        <v>–</v>
      </c>
      <c r="E176" s="8" t="str">
        <f aca="false">IFERROR(Rohdaten!C176*100/(Rohdaten!I176*4),"–")</f>
        <v>–</v>
      </c>
      <c r="F176" s="8" t="str">
        <f aca="false">IFERROR(Rohdaten!C176*100/(Rohdaten!J176*4),"–")</f>
        <v>–</v>
      </c>
      <c r="G176" s="9" t="str">
        <f aca="false">IFERROR(Rohdaten!C176*100/Rohdaten!K176,"–")</f>
        <v>–</v>
      </c>
      <c r="H176" s="8" t="str">
        <f aca="false">IFERROR(Rohdaten!C176*100/Rohdaten!L176,"–")</f>
        <v>–</v>
      </c>
      <c r="I176" s="9" t="str">
        <f aca="false">IFERROR(Rohdaten!C176*100/Rohdaten!M176,"–")</f>
        <v>–</v>
      </c>
      <c r="J176" s="8" t="str">
        <f aca="false">IFERROR(Rohdaten!C176*100/Rohdaten!N176,"–")</f>
        <v>–</v>
      </c>
      <c r="K176" s="9" t="str">
        <f aca="false">IFERROR(Rohdaten!C176*100/Rohdaten!O176,"–")</f>
        <v>–</v>
      </c>
      <c r="L176" s="8" t="str">
        <f aca="false">IFERROR(Rohdaten!C176*100/Rohdaten!P176,"–")</f>
        <v>–</v>
      </c>
      <c r="M176" s="8" t="str">
        <f aca="false">IFERROR(Rohdaten!C176*100/Rohdaten!Q176,"–")</f>
        <v>–</v>
      </c>
      <c r="N176" s="8" t="str">
        <f aca="false">IFERROR(Rohdaten!C176*100/Rohdaten!R176,"–")</f>
        <v>–</v>
      </c>
      <c r="O176" s="8" t="str">
        <f aca="false">IFERROR(Rohdaten!C176*100/Rohdaten!S176,"–")</f>
        <v>–</v>
      </c>
      <c r="P176" s="9" t="str">
        <f aca="false">IFERROR(Rohdaten!C176*100/Rohdaten!T176,"–")</f>
        <v>–</v>
      </c>
      <c r="Q176" s="9" t="str">
        <f aca="false">IFERROR(Rohdaten!C176*100/Rohdaten!U176,"–")</f>
        <v>–</v>
      </c>
      <c r="R176" s="8" t="n">
        <f aca="false">IFERROR(Rohdaten!C176*100/Rohdaten!V176,"–")</f>
        <v>2.5</v>
      </c>
      <c r="S176" s="8" t="str">
        <f aca="false">IFERROR(Rohdaten!C176*100/Rohdaten!W176,"–")</f>
        <v>–</v>
      </c>
      <c r="T176" s="8" t="n">
        <f aca="false">IFERROR(Rohdaten!C176*100/Rohdaten!X176,"–")</f>
        <v>6.66666666666667</v>
      </c>
      <c r="U176" s="8" t="str">
        <f aca="false">IFERROR(Rohdaten!C176*100/Rohdaten!Y176,"–")</f>
        <v>–</v>
      </c>
      <c r="V176" s="8" t="n">
        <f aca="false">IFERROR(Rohdaten!C176*100/Rohdaten!Z176,"–")</f>
        <v>10</v>
      </c>
    </row>
    <row r="177" customFormat="false" ht="15" hidden="false" customHeight="true" outlineLevel="0" collapsed="false">
      <c r="A177" s="4" t="str">
        <f aca="false">Rohdaten!A177</f>
        <v>Leitungswasser</v>
      </c>
      <c r="B177" s="8" t="n">
        <f aca="false">Rohdaten!C177</f>
        <v>0.006</v>
      </c>
      <c r="C177" s="8" t="str">
        <f aca="false">IFERROR(Rohdaten!C177*100/Rohdaten!G177,"–")</f>
        <v>–</v>
      </c>
      <c r="D177" s="8" t="str">
        <f aca="false">IFERROR(Rohdaten!C177*100/(Rohdaten!H177*9),"–")</f>
        <v>–</v>
      </c>
      <c r="E177" s="8" t="str">
        <f aca="false">IFERROR(Rohdaten!C177*100/(Rohdaten!I177*4),"–")</f>
        <v>–</v>
      </c>
      <c r="F177" s="8" t="str">
        <f aca="false">IFERROR(Rohdaten!C177*100/(Rohdaten!J177*4),"–")</f>
        <v>–</v>
      </c>
      <c r="G177" s="9" t="str">
        <f aca="false">IFERROR(Rohdaten!C177*100/Rohdaten!K177,"–")</f>
        <v>–</v>
      </c>
      <c r="H177" s="8" t="str">
        <f aca="false">IFERROR(Rohdaten!C177*100/Rohdaten!L177,"–")</f>
        <v>–</v>
      </c>
      <c r="I177" s="9" t="str">
        <f aca="false">IFERROR(Rohdaten!C177*100/Rohdaten!M177,"–")</f>
        <v>–</v>
      </c>
      <c r="J177" s="8" t="str">
        <f aca="false">IFERROR(Rohdaten!C177*100/Rohdaten!N177,"–")</f>
        <v>–</v>
      </c>
      <c r="K177" s="9" t="str">
        <f aca="false">IFERROR(Rohdaten!C177*100/Rohdaten!O177,"–")</f>
        <v>–</v>
      </c>
      <c r="L177" s="8" t="str">
        <f aca="false">IFERROR(Rohdaten!C177*100/Rohdaten!P177,"–")</f>
        <v>–</v>
      </c>
      <c r="M177" s="8" t="str">
        <f aca="false">IFERROR(Rohdaten!C177*100/Rohdaten!Q177,"–")</f>
        <v>–</v>
      </c>
      <c r="N177" s="8" t="str">
        <f aca="false">IFERROR(Rohdaten!C177*100/Rohdaten!R177,"–")</f>
        <v>–</v>
      </c>
      <c r="O177" s="8" t="str">
        <f aca="false">IFERROR(Rohdaten!C177*100/Rohdaten!S177,"–")</f>
        <v>–</v>
      </c>
      <c r="P177" s="9" t="str">
        <f aca="false">IFERROR(Rohdaten!C177*100/Rohdaten!T177,"–")</f>
        <v>–</v>
      </c>
      <c r="Q177" s="9" t="str">
        <f aca="false">IFERROR(Rohdaten!C177*100/Rohdaten!U177,"–")</f>
        <v>–</v>
      </c>
      <c r="R177" s="8" t="n">
        <f aca="false">IFERROR(Rohdaten!C177*100/Rohdaten!V177,"–")</f>
        <v>0.12</v>
      </c>
      <c r="S177" s="8" t="str">
        <f aca="false">IFERROR(Rohdaten!C177*100/Rohdaten!W177,"–")</f>
        <v>–</v>
      </c>
      <c r="T177" s="8" t="n">
        <f aca="false">IFERROR(Rohdaten!C177*100/Rohdaten!X177,"–")</f>
        <v>0.3</v>
      </c>
      <c r="U177" s="8" t="str">
        <f aca="false">IFERROR(Rohdaten!C177*100/Rohdaten!Y177,"–")</f>
        <v>–</v>
      </c>
      <c r="V177" s="8" t="n">
        <f aca="false">IFERROR(Rohdaten!C177*100/Rohdaten!Z177,"–")</f>
        <v>0.6</v>
      </c>
    </row>
    <row r="178" customFormat="false" ht="15" hidden="false" customHeight="true" outlineLevel="0" collapsed="false">
      <c r="A178" s="4" t="str">
        <f aca="false">Rohdaten!A178</f>
        <v>Pommes frites, tiefgekühlt</v>
      </c>
      <c r="B178" s="8" t="n">
        <f aca="false">Rohdaten!C178</f>
        <v>0.7</v>
      </c>
      <c r="C178" s="8" t="n">
        <f aca="false">IFERROR(Rohdaten!C178*100/Rohdaten!G178,"–")</f>
        <v>0.451612903225806</v>
      </c>
      <c r="D178" s="8" t="n">
        <f aca="false">IFERROR(Rohdaten!C178*100/(Rohdaten!H178*9),"–")</f>
        <v>1.55555555555556</v>
      </c>
      <c r="E178" s="8" t="n">
        <f aca="false">IFERROR(Rohdaten!C178*100/(Rohdaten!I178*4),"–")</f>
        <v>7</v>
      </c>
      <c r="F178" s="8" t="n">
        <f aca="false">IFERROR(Rohdaten!C178*100/(Rohdaten!J178*4),"–")</f>
        <v>0.7</v>
      </c>
      <c r="G178" s="9" t="str">
        <f aca="false">IFERROR(Rohdaten!C178*100/Rohdaten!K178,"–")</f>
        <v>–</v>
      </c>
      <c r="H178" s="8" t="n">
        <f aca="false">IFERROR(Rohdaten!C178*100/Rohdaten!L178,"–")</f>
        <v>14</v>
      </c>
      <c r="I178" s="9" t="str">
        <f aca="false">IFERROR(Rohdaten!C178*100/Rohdaten!M178,"–")</f>
        <v>–</v>
      </c>
      <c r="J178" s="8" t="n">
        <f aca="false">IFERROR(Rohdaten!C178*100/Rohdaten!N178,"–")</f>
        <v>233.333333333333</v>
      </c>
      <c r="K178" s="9" t="n">
        <f aca="false">IFERROR(Rohdaten!C178*100/Rohdaten!O178,"–")</f>
        <v>23.3333333333333</v>
      </c>
      <c r="L178" s="8" t="n">
        <f aca="false">IFERROR(Rohdaten!C178*100/Rohdaten!P178,"–")</f>
        <v>875</v>
      </c>
      <c r="M178" s="8" t="n">
        <f aca="false">IFERROR(Rohdaten!C178*100/Rohdaten!Q178,"–")</f>
        <v>3500</v>
      </c>
      <c r="N178" s="8" t="n">
        <f aca="false">IFERROR(Rohdaten!C178*100/Rohdaten!R178,"–")</f>
        <v>46.6666666666667</v>
      </c>
      <c r="O178" s="8" t="n">
        <f aca="false">IFERROR(Rohdaten!C178*100/Rohdaten!S178,"–")</f>
        <v>280</v>
      </c>
      <c r="P178" s="9" t="n">
        <f aca="false">IFERROR(Rohdaten!C178*100/Rohdaten!T178,"–")</f>
        <v>4.66666666666667</v>
      </c>
      <c r="Q178" s="9" t="str">
        <f aca="false">IFERROR(Rohdaten!C178*100/Rohdaten!U178,"–")</f>
        <v>–</v>
      </c>
      <c r="R178" s="8" t="n">
        <f aca="false">IFERROR(Rohdaten!C178*100/Rohdaten!V178,"–")</f>
        <v>7</v>
      </c>
      <c r="S178" s="8" t="n">
        <f aca="false">IFERROR(Rohdaten!C178*100/Rohdaten!W178,"–")</f>
        <v>140</v>
      </c>
      <c r="T178" s="8" t="n">
        <f aca="false">IFERROR(Rohdaten!C178*100/Rohdaten!X178,"–")</f>
        <v>3.5</v>
      </c>
      <c r="U178" s="8" t="n">
        <f aca="false">IFERROR(Rohdaten!C178*100/Rohdaten!Y178,"–")</f>
        <v>233.333333333333</v>
      </c>
      <c r="V178" s="8" t="n">
        <f aca="false">IFERROR(Rohdaten!C178*100/Rohdaten!Z178,"–")</f>
        <v>0.155555555555556</v>
      </c>
    </row>
    <row r="179" customFormat="false" ht="15" hidden="false" customHeight="true" outlineLevel="0" collapsed="false">
      <c r="A179" s="4" t="str">
        <f aca="false">Rohdaten!A179</f>
        <v>Lammfleisch</v>
      </c>
      <c r="B179" s="8" t="n">
        <f aca="false">Rohdaten!C179</f>
        <v>39.72</v>
      </c>
      <c r="C179" s="8" t="n">
        <f aca="false">IFERROR(Rohdaten!C179*100/Rohdaten!G179,"–")</f>
        <v>15.888</v>
      </c>
      <c r="D179" s="8" t="n">
        <f aca="false">IFERROR(Rohdaten!C179*100/(Rohdaten!H179*9),"–")</f>
        <v>25.9607843137255</v>
      </c>
      <c r="E179" s="8" t="n">
        <f aca="false">IFERROR(Rohdaten!C179*100/(Rohdaten!I179*4),"–")</f>
        <v>39.72</v>
      </c>
      <c r="F179" s="8" t="str">
        <f aca="false">IFERROR(Rohdaten!C179*100/(Rohdaten!J179*4),"–")</f>
        <v>–</v>
      </c>
      <c r="G179" s="9" t="str">
        <f aca="false">IFERROR(Rohdaten!C179*100/Rohdaten!K179,"–")</f>
        <v>–</v>
      </c>
      <c r="H179" s="8" t="str">
        <f aca="false">IFERROR(Rohdaten!C179*100/Rohdaten!L179,"–")</f>
        <v>–</v>
      </c>
      <c r="I179" s="9" t="n">
        <f aca="false">IFERROR(Rohdaten!C179*100/Rohdaten!M179,"–")</f>
        <v>39720</v>
      </c>
      <c r="J179" s="8" t="n">
        <f aca="false">IFERROR(Rohdaten!C179*100/Rohdaten!N179,"–")</f>
        <v>7944</v>
      </c>
      <c r="K179" s="9" t="n">
        <f aca="false">IFERROR(Rohdaten!C179*100/Rohdaten!O179,"–")</f>
        <v>993</v>
      </c>
      <c r="L179" s="8" t="n">
        <f aca="false">IFERROR(Rohdaten!C179*100/Rohdaten!P179,"–")</f>
        <v>39720</v>
      </c>
      <c r="M179" s="8" t="n">
        <f aca="false">IFERROR(Rohdaten!C179*100/Rohdaten!Q179,"–")</f>
        <v>17269.5652173913</v>
      </c>
      <c r="N179" s="8" t="n">
        <f aca="false">IFERROR(Rohdaten!C179*100/Rohdaten!R179,"–")</f>
        <v>662</v>
      </c>
      <c r="O179" s="8" t="n">
        <f aca="false">IFERROR(Rohdaten!C179*100/Rohdaten!S179,"–")</f>
        <v>26480</v>
      </c>
      <c r="P179" s="9" t="n">
        <f aca="false">IFERROR(Rohdaten!C179*100/Rohdaten!T179,"–")</f>
        <v>794.4</v>
      </c>
      <c r="Q179" s="9" t="n">
        <f aca="false">IFERROR(Rohdaten!C179*100/Rohdaten!U179,"–")</f>
        <v>1527.69230769231</v>
      </c>
      <c r="R179" s="8" t="n">
        <f aca="false">IFERROR(Rohdaten!C179*100/Rohdaten!V179,"–")</f>
        <v>496.5</v>
      </c>
      <c r="S179" s="8" t="n">
        <f aca="false">IFERROR(Rohdaten!C179*100/Rohdaten!W179,"–")</f>
        <v>2090.52631578947</v>
      </c>
      <c r="T179" s="8" t="n">
        <f aca="false">IFERROR(Rohdaten!C179*100/Rohdaten!X179,"–")</f>
        <v>189.142857142857</v>
      </c>
      <c r="U179" s="8" t="n">
        <f aca="false">IFERROR(Rohdaten!C179*100/Rohdaten!Y179,"–")</f>
        <v>993</v>
      </c>
      <c r="V179" s="8" t="n">
        <f aca="false">IFERROR(Rohdaten!C179*100/Rohdaten!Z179,"–")</f>
        <v>12.8129032258065</v>
      </c>
    </row>
    <row r="180" customFormat="false" ht="15" hidden="false" customHeight="true" outlineLevel="0" collapsed="false">
      <c r="A180" s="4" t="str">
        <f aca="false">Rohdaten!A180</f>
        <v>Lachs (Zucht)</v>
      </c>
      <c r="B180" s="8" t="n">
        <f aca="false">Rohdaten!C180</f>
        <v>13.63</v>
      </c>
      <c r="C180" s="8" t="n">
        <f aca="false">IFERROR(Rohdaten!C180*100/Rohdaten!G180,"–")</f>
        <v>6.55288461538462</v>
      </c>
      <c r="D180" s="8" t="n">
        <f aca="false">IFERROR(Rohdaten!C180*100/(Rohdaten!H180*9),"–")</f>
        <v>11.6495726495726</v>
      </c>
      <c r="E180" s="8" t="n">
        <f aca="false">IFERROR(Rohdaten!C180*100/(Rohdaten!I180*4),"–")</f>
        <v>17.0375</v>
      </c>
      <c r="F180" s="8" t="str">
        <f aca="false">IFERROR(Rohdaten!C180*100/(Rohdaten!J180*4),"–")</f>
        <v>–</v>
      </c>
      <c r="G180" s="9" t="n">
        <f aca="false">IFERROR(Rohdaten!C180*100/Rohdaten!K180,"–")</f>
        <v>113.583333333333</v>
      </c>
      <c r="H180" s="8" t="str">
        <f aca="false">IFERROR(Rohdaten!C180*100/Rohdaten!L180,"–")</f>
        <v>–</v>
      </c>
      <c r="I180" s="9" t="n">
        <f aca="false">IFERROR(Rohdaten!C180*100/Rohdaten!M180,"–")</f>
        <v>123.909090909091</v>
      </c>
      <c r="J180" s="8" t="n">
        <f aca="false">IFERROR(Rohdaten!C180*100/Rohdaten!N180,"–")</f>
        <v>389.428571428571</v>
      </c>
      <c r="K180" s="9" t="n">
        <f aca="false">IFERROR(Rohdaten!C180*100/Rohdaten!O180,"–")</f>
        <v>13630</v>
      </c>
      <c r="L180" s="8" t="n">
        <f aca="false">IFERROR(Rohdaten!C180*100/Rohdaten!P180,"–")</f>
        <v>6815</v>
      </c>
      <c r="M180" s="8" t="n">
        <f aca="false">IFERROR(Rohdaten!C180*100/Rohdaten!Q180,"–")</f>
        <v>3407.5</v>
      </c>
      <c r="N180" s="8" t="n">
        <f aca="false">IFERROR(Rohdaten!C180*100/Rohdaten!R180,"–")</f>
        <v>170.375</v>
      </c>
      <c r="O180" s="8" t="n">
        <f aca="false">IFERROR(Rohdaten!C180*100/Rohdaten!S180,"–")</f>
        <v>2271.66666666667</v>
      </c>
      <c r="P180" s="9" t="n">
        <f aca="false">IFERROR(Rohdaten!C180*100/Rohdaten!T180,"–")</f>
        <v>52.4230769230769</v>
      </c>
      <c r="Q180" s="9" t="n">
        <f aca="false">IFERROR(Rohdaten!C180*100/Rohdaten!U180,"–")</f>
        <v>425.9375</v>
      </c>
      <c r="R180" s="8" t="n">
        <f aca="false">IFERROR(Rohdaten!C180*100/Rohdaten!V180,"–")</f>
        <v>113.583333333333</v>
      </c>
      <c r="S180" s="8" t="n">
        <f aca="false">IFERROR(Rohdaten!C180*100/Rohdaten!W180,"–")</f>
        <v>2726</v>
      </c>
      <c r="T180" s="8" t="n">
        <f aca="false">IFERROR(Rohdaten!C180*100/Rohdaten!X180,"–")</f>
        <v>50.4814814814815</v>
      </c>
      <c r="U180" s="8" t="n">
        <f aca="false">IFERROR(Rohdaten!C180*100/Rohdaten!Y180,"–")</f>
        <v>2271.66666666667</v>
      </c>
      <c r="V180" s="8" t="n">
        <f aca="false">IFERROR(Rohdaten!C180*100/Rohdaten!Z180,"–")</f>
        <v>3.58684210526316</v>
      </c>
    </row>
    <row r="181" customFormat="false" ht="15" hidden="false" customHeight="true" outlineLevel="0" collapsed="false">
      <c r="A181" s="4" t="str">
        <f aca="false">Rohdaten!A181</f>
        <v>Mandeln</v>
      </c>
      <c r="B181" s="8" t="n">
        <f aca="false">Rohdaten!C181</f>
        <v>0.43</v>
      </c>
      <c r="C181" s="8" t="n">
        <f aca="false">IFERROR(Rohdaten!C181*100/Rohdaten!G181,"–")</f>
        <v>0.0741379310344828</v>
      </c>
      <c r="D181" s="8" t="n">
        <f aca="false">IFERROR(Rohdaten!C181*100/(Rohdaten!H181*9),"–")</f>
        <v>0.0955555555555556</v>
      </c>
      <c r="E181" s="8" t="n">
        <f aca="false">IFERROR(Rohdaten!C181*100/(Rohdaten!I181*4),"–")</f>
        <v>0.511904761904762</v>
      </c>
      <c r="F181" s="8" t="n">
        <f aca="false">IFERROR(Rohdaten!C181*100/(Rohdaten!J181*4),"–")</f>
        <v>0.488636363636364</v>
      </c>
      <c r="G181" s="9" t="str">
        <f aca="false">IFERROR(Rohdaten!C181*100/Rohdaten!K181,"–")</f>
        <v>–</v>
      </c>
      <c r="H181" s="8" t="str">
        <f aca="false">IFERROR(Rohdaten!C181*100/Rohdaten!L181,"–")</f>
        <v>–</v>
      </c>
      <c r="I181" s="9" t="str">
        <f aca="false">IFERROR(Rohdaten!C181*100/Rohdaten!M181,"–")</f>
        <v>–</v>
      </c>
      <c r="J181" s="8" t="n">
        <f aca="false">IFERROR(Rohdaten!C181*100/Rohdaten!N181,"–")</f>
        <v>1.72</v>
      </c>
      <c r="K181" s="9" t="str">
        <f aca="false">IFERROR(Rohdaten!C181*100/Rohdaten!O181,"–")</f>
        <v>–</v>
      </c>
      <c r="L181" s="8" t="n">
        <f aca="false">IFERROR(Rohdaten!C181*100/Rohdaten!P181,"–")</f>
        <v>215</v>
      </c>
      <c r="M181" s="8" t="n">
        <f aca="false">IFERROR(Rohdaten!C181*100/Rohdaten!Q181,"–")</f>
        <v>39.0909090909091</v>
      </c>
      <c r="N181" s="8" t="n">
        <f aca="false">IFERROR(Rohdaten!C181*100/Rohdaten!R181,"–")</f>
        <v>11.9444444444444</v>
      </c>
      <c r="O181" s="8" t="n">
        <f aca="false">IFERROR(Rohdaten!C181*100/Rohdaten!S181,"–")</f>
        <v>430</v>
      </c>
      <c r="P181" s="9" t="n">
        <f aca="false">IFERROR(Rohdaten!C181*100/Rohdaten!T181,"–")</f>
        <v>0.86</v>
      </c>
      <c r="Q181" s="9" t="str">
        <f aca="false">IFERROR(Rohdaten!C181*100/Rohdaten!U181,"–")</f>
        <v>–</v>
      </c>
      <c r="R181" s="8" t="n">
        <f aca="false">IFERROR(Rohdaten!C181*100/Rohdaten!V181,"–")</f>
        <v>0.165384615384615</v>
      </c>
      <c r="S181" s="8" t="n">
        <f aca="false">IFERROR(Rohdaten!C181*100/Rohdaten!W181,"–")</f>
        <v>11.6216216216216</v>
      </c>
      <c r="T181" s="8" t="n">
        <f aca="false">IFERROR(Rohdaten!C181*100/Rohdaten!X181,"–")</f>
        <v>0.159259259259259</v>
      </c>
      <c r="U181" s="8" t="n">
        <f aca="false">IFERROR(Rohdaten!C181*100/Rohdaten!Y181,"–")</f>
        <v>13.8709677419355</v>
      </c>
      <c r="V181" s="8" t="n">
        <f aca="false">IFERROR(Rohdaten!C181*100/Rohdaten!Z181,"–")</f>
        <v>0.0589041095890411</v>
      </c>
    </row>
    <row r="182" customFormat="false" ht="15" hidden="false" customHeight="true" outlineLevel="0" collapsed="false">
      <c r="A182" s="4" t="str">
        <f aca="false">Rohdaten!A182</f>
        <v>Gerste (roh)</v>
      </c>
      <c r="B182" s="8" t="n">
        <f aca="false">Rohdaten!C182</f>
        <v>1.18</v>
      </c>
      <c r="C182" s="8" t="n">
        <f aca="false">IFERROR(Rohdaten!C182*100/Rohdaten!G182,"–")</f>
        <v>0.333333333333333</v>
      </c>
      <c r="D182" s="8" t="n">
        <f aca="false">IFERROR(Rohdaten!C182*100/(Rohdaten!H182*9),"–")</f>
        <v>10.9259259259259</v>
      </c>
      <c r="E182" s="8" t="n">
        <f aca="false">IFERROR(Rohdaten!C182*100/(Rohdaten!I182*4),"–")</f>
        <v>2.97979797979798</v>
      </c>
      <c r="F182" s="8" t="n">
        <f aca="false">IFERROR(Rohdaten!C182*100/(Rohdaten!J182*4),"–")</f>
        <v>0.404109589041096</v>
      </c>
      <c r="G182" s="9" t="str">
        <f aca="false">IFERROR(Rohdaten!C182*100/Rohdaten!K182,"–")</f>
        <v>–</v>
      </c>
      <c r="H182" s="8" t="str">
        <f aca="false">IFERROR(Rohdaten!C182*100/Rohdaten!L182,"–")</f>
        <v>–</v>
      </c>
      <c r="I182" s="9" t="str">
        <f aca="false">IFERROR(Rohdaten!C182*100/Rohdaten!M182,"–")</f>
        <v>–</v>
      </c>
      <c r="J182" s="8" t="n">
        <f aca="false">IFERROR(Rohdaten!C182*100/Rohdaten!N182,"–")</f>
        <v>1180</v>
      </c>
      <c r="K182" s="9" t="str">
        <f aca="false">IFERROR(Rohdaten!C182*100/Rohdaten!O182,"–")</f>
        <v>–</v>
      </c>
      <c r="L182" s="8" t="n">
        <f aca="false">IFERROR(Rohdaten!C182*100/Rohdaten!P182,"–")</f>
        <v>621.052631578947</v>
      </c>
      <c r="M182" s="8" t="n">
        <f aca="false">IFERROR(Rohdaten!C182*100/Rohdaten!Q182,"–")</f>
        <v>1072.72727272727</v>
      </c>
      <c r="N182" s="8" t="n">
        <f aca="false">IFERROR(Rohdaten!C182*100/Rohdaten!R182,"–")</f>
        <v>25.6521739130435</v>
      </c>
      <c r="O182" s="8" t="n">
        <f aca="false">IFERROR(Rohdaten!C182*100/Rohdaten!S182,"–")</f>
        <v>453.846153846154</v>
      </c>
      <c r="P182" s="9" t="n">
        <f aca="false">IFERROR(Rohdaten!C182*100/Rohdaten!T182,"–")</f>
        <v>5.1304347826087</v>
      </c>
      <c r="Q182" s="9" t="str">
        <f aca="false">IFERROR(Rohdaten!C182*100/Rohdaten!U182,"–")</f>
        <v>–</v>
      </c>
      <c r="R182" s="8" t="n">
        <f aca="false">IFERROR(Rohdaten!C182*100/Rohdaten!V182,"–")</f>
        <v>4.06896551724138</v>
      </c>
      <c r="S182" s="8" t="n">
        <f aca="false">IFERROR(Rohdaten!C182*100/Rohdaten!W182,"–")</f>
        <v>47.2</v>
      </c>
      <c r="T182" s="8" t="n">
        <f aca="false">IFERROR(Rohdaten!C182*100/Rohdaten!X182,"–")</f>
        <v>1.49367088607595</v>
      </c>
      <c r="U182" s="8" t="n">
        <f aca="false">IFERROR(Rohdaten!C182*100/Rohdaten!Y182,"–")</f>
        <v>56.1904761904762</v>
      </c>
      <c r="V182" s="8" t="n">
        <f aca="false">IFERROR(Rohdaten!C182*100/Rohdaten!Z182,"–")</f>
        <v>0.421428571428571</v>
      </c>
    </row>
    <row r="183" customFormat="false" ht="15" hidden="false" customHeight="true" outlineLevel="0" collapsed="false">
      <c r="A183" s="4" t="str">
        <f aca="false">Rohdaten!A183</f>
        <v>Zartbitterschokolade</v>
      </c>
      <c r="B183" s="8" t="n">
        <f aca="false">Rohdaten!C183</f>
        <v>46.65</v>
      </c>
      <c r="C183" s="8" t="n">
        <f aca="false">IFERROR(Rohdaten!C183*100/Rohdaten!G183,"–")</f>
        <v>8.48181818181818</v>
      </c>
      <c r="D183" s="8" t="n">
        <f aca="false">IFERROR(Rohdaten!C183*100/(Rohdaten!H183*9),"–")</f>
        <v>13.640350877193</v>
      </c>
      <c r="E183" s="8" t="n">
        <f aca="false">IFERROR(Rohdaten!C183*100/(Rohdaten!I183*4),"–")</f>
        <v>194.375</v>
      </c>
      <c r="F183" s="8" t="n">
        <f aca="false">IFERROR(Rohdaten!C183*100/(Rohdaten!J183*4),"–")</f>
        <v>25.9166666666667</v>
      </c>
      <c r="G183" s="9" t="n">
        <f aca="false">IFERROR(Rohdaten!C183*100/Rohdaten!K183,"–")</f>
        <v>1555</v>
      </c>
      <c r="H183" s="8" t="str">
        <f aca="false">IFERROR(Rohdaten!C183*100/Rohdaten!L183,"–")</f>
        <v>–</v>
      </c>
      <c r="I183" s="9" t="str">
        <f aca="false">IFERROR(Rohdaten!C183*100/Rohdaten!M183,"–")</f>
        <v>–</v>
      </c>
      <c r="J183" s="8" t="n">
        <f aca="false">IFERROR(Rohdaten!C183*100/Rohdaten!N183,"–")</f>
        <v>7775</v>
      </c>
      <c r="K183" s="9" t="n">
        <f aca="false">IFERROR(Rohdaten!C183*100/Rohdaten!O183,"–")</f>
        <v>777.5</v>
      </c>
      <c r="L183" s="8" t="n">
        <f aca="false">IFERROR(Rohdaten!C183*100/Rohdaten!P183,"–")</f>
        <v>155500</v>
      </c>
      <c r="M183" s="8" t="n">
        <f aca="false">IFERROR(Rohdaten!C183*100/Rohdaten!Q183,"–")</f>
        <v>58312.5</v>
      </c>
      <c r="N183" s="8" t="n">
        <f aca="false">IFERROR(Rohdaten!C183*100/Rohdaten!R183,"–")</f>
        <v>4665</v>
      </c>
      <c r="O183" s="8" t="n">
        <f aca="false">IFERROR(Rohdaten!C183*100/Rohdaten!S183,"–")</f>
        <v>116625</v>
      </c>
      <c r="P183" s="9" t="n">
        <f aca="false">IFERROR(Rohdaten!C183*100/Rohdaten!T183,"–")</f>
        <v>583.125</v>
      </c>
      <c r="Q183" s="9" t="n">
        <f aca="false">IFERROR(Rohdaten!C183*100/Rohdaten!U183,"–")</f>
        <v>15550</v>
      </c>
      <c r="R183" s="8" t="n">
        <f aca="false">IFERROR(Rohdaten!C183*100/Rohdaten!V183,"–")</f>
        <v>77.75</v>
      </c>
      <c r="S183" s="8" t="n">
        <f aca="false">IFERROR(Rohdaten!C183*100/Rohdaten!W183,"–")</f>
        <v>583.125</v>
      </c>
      <c r="T183" s="8" t="n">
        <f aca="false">IFERROR(Rohdaten!C183*100/Rohdaten!X183,"–")</f>
        <v>31.1</v>
      </c>
      <c r="U183" s="8" t="n">
        <f aca="false">IFERROR(Rohdaten!C183*100/Rohdaten!Y183,"–")</f>
        <v>2332.5</v>
      </c>
      <c r="V183" s="8" t="n">
        <f aca="false">IFERROR(Rohdaten!C183*100/Rohdaten!Z183,"–")</f>
        <v>7.775</v>
      </c>
    </row>
    <row r="184" customFormat="false" ht="15" hidden="false" customHeight="true" outlineLevel="0" collapsed="false">
      <c r="A184" s="4" t="str">
        <f aca="false">Rohdaten!A184</f>
        <v>Eissalat (Freiland, Deutschland)</v>
      </c>
      <c r="B184" s="8" t="n">
        <f aca="false">Rohdaten!C184</f>
        <v>0.6</v>
      </c>
      <c r="C184" s="8" t="n">
        <f aca="false">IFERROR(Rohdaten!C184*100/Rohdaten!G184,"–")</f>
        <v>4.28571428571429</v>
      </c>
      <c r="D184" s="8" t="n">
        <f aca="false">IFERROR(Rohdaten!C184*100/(Rohdaten!H184*9),"–")</f>
        <v>66.6666666666667</v>
      </c>
      <c r="E184" s="8" t="n">
        <f aca="false">IFERROR(Rohdaten!C184*100/(Rohdaten!I184*4),"–")</f>
        <v>16.6666666666667</v>
      </c>
      <c r="F184" s="8" t="n">
        <f aca="false">IFERROR(Rohdaten!C184*100/(Rohdaten!J184*4),"–")</f>
        <v>7.14285714285714</v>
      </c>
      <c r="G184" s="9" t="n">
        <f aca="false">IFERROR(Rohdaten!C184*100/Rohdaten!K184,"–")</f>
        <v>2.4</v>
      </c>
      <c r="H184" s="8" t="n">
        <f aca="false">IFERROR(Rohdaten!C184*100/Rohdaten!L184,"–")</f>
        <v>20</v>
      </c>
      <c r="I184" s="9" t="str">
        <f aca="false">IFERROR(Rohdaten!C184*100/Rohdaten!M184,"–")</f>
        <v>–</v>
      </c>
      <c r="J184" s="8" t="n">
        <f aca="false">IFERROR(Rohdaten!C184*100/Rohdaten!N184,"–")</f>
        <v>300</v>
      </c>
      <c r="K184" s="9" t="n">
        <f aca="false">IFERROR(Rohdaten!C184*100/Rohdaten!O184,"–")</f>
        <v>2.5</v>
      </c>
      <c r="L184" s="8" t="n">
        <f aca="false">IFERROR(Rohdaten!C184*100/Rohdaten!P184,"–")</f>
        <v>1200</v>
      </c>
      <c r="M184" s="8" t="n">
        <f aca="false">IFERROR(Rohdaten!C184*100/Rohdaten!Q184,"–")</f>
        <v>2000</v>
      </c>
      <c r="N184" s="8" t="n">
        <f aca="false">IFERROR(Rohdaten!C184*100/Rohdaten!R184,"–")</f>
        <v>300</v>
      </c>
      <c r="O184" s="8" t="n">
        <f aca="false">IFERROR(Rohdaten!C184*100/Rohdaten!S184,"–")</f>
        <v>1500</v>
      </c>
      <c r="P184" s="9" t="n">
        <f aca="false">IFERROR(Rohdaten!C184*100/Rohdaten!T184,"–")</f>
        <v>3.33333333333333</v>
      </c>
      <c r="Q184" s="9" t="str">
        <f aca="false">IFERROR(Rohdaten!C184*100/Rohdaten!U184,"–")</f>
        <v>–</v>
      </c>
      <c r="R184" s="8" t="n">
        <f aca="false">IFERROR(Rohdaten!C184*100/Rohdaten!V184,"–")</f>
        <v>3.33333333333333</v>
      </c>
      <c r="S184" s="8" t="n">
        <f aca="false">IFERROR(Rohdaten!C184*100/Rohdaten!W184,"–")</f>
        <v>150</v>
      </c>
      <c r="T184" s="8" t="n">
        <f aca="false">IFERROR(Rohdaten!C184*100/Rohdaten!X184,"–")</f>
        <v>8.57142857142857</v>
      </c>
      <c r="U184" s="8" t="n">
        <f aca="false">IFERROR(Rohdaten!C184*100/Rohdaten!Y184,"–")</f>
        <v>300</v>
      </c>
      <c r="V184" s="8" t="n">
        <f aca="false">IFERROR(Rohdaten!C184*100/Rohdaten!Z184,"–")</f>
        <v>0.428571428571429</v>
      </c>
    </row>
    <row r="185" customFormat="false" ht="15" hidden="false" customHeight="true" outlineLevel="0" collapsed="false">
      <c r="A185" s="4" t="str">
        <f aca="false">Rohdaten!A185</f>
        <v>Rindfleisch (Ackerbau-Fütterung, Regenwald-Landnutzungsänderung)</v>
      </c>
      <c r="B185" s="8" t="n">
        <f aca="false">Rohdaten!C185</f>
        <v>21</v>
      </c>
      <c r="C185" s="8" t="n">
        <f aca="false">IFERROR(Rohdaten!C185*100/Rohdaten!G185,"–")</f>
        <v>8.4</v>
      </c>
      <c r="D185" s="8" t="n">
        <f aca="false">IFERROR(Rohdaten!C185*100/(Rohdaten!H185*9),"–")</f>
        <v>15.5555555555556</v>
      </c>
      <c r="E185" s="8" t="n">
        <f aca="false">IFERROR(Rohdaten!C185*100/(Rohdaten!I185*4),"–")</f>
        <v>20.1923076923077</v>
      </c>
      <c r="F185" s="8" t="str">
        <f aca="false">IFERROR(Rohdaten!C185*100/(Rohdaten!J185*4),"–")</f>
        <v>–</v>
      </c>
      <c r="G185" s="9" t="str">
        <f aca="false">IFERROR(Rohdaten!C185*100/Rohdaten!K185,"–")</f>
        <v>–</v>
      </c>
      <c r="H185" s="8" t="str">
        <f aca="false">IFERROR(Rohdaten!C185*100/Rohdaten!L185,"–")</f>
        <v>–</v>
      </c>
      <c r="I185" s="9" t="str">
        <f aca="false">IFERROR(Rohdaten!C185*100/Rohdaten!M185,"–")</f>
        <v>–</v>
      </c>
      <c r="J185" s="8" t="n">
        <f aca="false">IFERROR(Rohdaten!C185*100/Rohdaten!N185,"–")</f>
        <v>7000</v>
      </c>
      <c r="K185" s="9" t="n">
        <f aca="false">IFERROR(Rohdaten!C185*100/Rohdaten!O185,"–")</f>
        <v>1400</v>
      </c>
      <c r="L185" s="8" t="n">
        <f aca="false">IFERROR(Rohdaten!C185*100/Rohdaten!P185,"–")</f>
        <v>26250</v>
      </c>
      <c r="M185" s="8" t="n">
        <f aca="false">IFERROR(Rohdaten!C185*100/Rohdaten!Q185,"–")</f>
        <v>10500</v>
      </c>
      <c r="N185" s="8" t="n">
        <f aca="false">IFERROR(Rohdaten!C185*100/Rohdaten!R185,"–")</f>
        <v>420</v>
      </c>
      <c r="O185" s="8" t="n">
        <f aca="false">IFERROR(Rohdaten!C185*100/Rohdaten!S185,"–")</f>
        <v>5250</v>
      </c>
      <c r="P185" s="9" t="n">
        <f aca="false">IFERROR(Rohdaten!C185*100/Rohdaten!T185,"–")</f>
        <v>350</v>
      </c>
      <c r="Q185" s="9" t="n">
        <f aca="false">IFERROR(Rohdaten!C185*100/Rohdaten!U185,"–")</f>
        <v>840</v>
      </c>
      <c r="R185" s="8" t="n">
        <f aca="false">IFERROR(Rohdaten!C185*100/Rohdaten!V185,"–")</f>
        <v>175</v>
      </c>
      <c r="S185" s="8" t="n">
        <f aca="false">IFERROR(Rohdaten!C185*100/Rohdaten!W185,"–")</f>
        <v>840</v>
      </c>
      <c r="T185" s="8" t="n">
        <f aca="false">IFERROR(Rohdaten!C185*100/Rohdaten!X185,"–")</f>
        <v>95.4545454545455</v>
      </c>
      <c r="U185" s="8" t="n">
        <f aca="false">IFERROR(Rohdaten!C185*100/Rohdaten!Y185,"–")</f>
        <v>466.666666666667</v>
      </c>
      <c r="V185" s="8" t="n">
        <f aca="false">IFERROR(Rohdaten!C185*100/Rohdaten!Z185,"–")</f>
        <v>6</v>
      </c>
    </row>
    <row r="186" customFormat="false" ht="15" hidden="false" customHeight="true" outlineLevel="0" collapsed="false">
      <c r="A186" s="4" t="str">
        <f aca="false">Rohdaten!A186</f>
        <v>Schweinefleisch (Soja-Futter, Regenwald-Landnutzungsänderung)</v>
      </c>
      <c r="B186" s="8" t="n">
        <f aca="false">Rohdaten!C186</f>
        <v>14</v>
      </c>
      <c r="C186" s="8" t="n">
        <f aca="false">IFERROR(Rohdaten!C186*100/Rohdaten!G186,"–")</f>
        <v>5.78512396694215</v>
      </c>
      <c r="D186" s="8" t="n">
        <f aca="false">IFERROR(Rohdaten!C186*100/(Rohdaten!H186*9),"–")</f>
        <v>9.15032679738562</v>
      </c>
      <c r="E186" s="8" t="n">
        <f aca="false">IFERROR(Rohdaten!C186*100/(Rohdaten!I186*4),"–")</f>
        <v>16.6666666666667</v>
      </c>
      <c r="F186" s="8" t="str">
        <f aca="false">IFERROR(Rohdaten!C186*100/(Rohdaten!J186*4),"–")</f>
        <v>–</v>
      </c>
      <c r="G186" s="9" t="n">
        <f aca="false">IFERROR(Rohdaten!C186*100/Rohdaten!K186,"–")</f>
        <v>700</v>
      </c>
      <c r="H186" s="8" t="n">
        <f aca="false">IFERROR(Rohdaten!C186*100/Rohdaten!L186,"–")</f>
        <v>2800</v>
      </c>
      <c r="I186" s="9" t="n">
        <f aca="false">IFERROR(Rohdaten!C186*100/Rohdaten!M186,"–")</f>
        <v>1400</v>
      </c>
      <c r="J186" s="8" t="n">
        <f aca="false">IFERROR(Rohdaten!C186*100/Rohdaten!N186,"–")</f>
        <v>4666.66666666667</v>
      </c>
      <c r="K186" s="9" t="str">
        <f aca="false">IFERROR(Rohdaten!C186*100/Rohdaten!O186,"–")</f>
        <v>–</v>
      </c>
      <c r="L186" s="8" t="n">
        <f aca="false">IFERROR(Rohdaten!C186*100/Rohdaten!P186,"–")</f>
        <v>2333.33333333333</v>
      </c>
      <c r="M186" s="8" t="n">
        <f aca="false">IFERROR(Rohdaten!C186*100/Rohdaten!Q186,"–")</f>
        <v>7000</v>
      </c>
      <c r="N186" s="8" t="n">
        <f aca="false">IFERROR(Rohdaten!C186*100/Rohdaten!R186,"–")</f>
        <v>280</v>
      </c>
      <c r="O186" s="8" t="n">
        <f aca="false">IFERROR(Rohdaten!C186*100/Rohdaten!S186,"–")</f>
        <v>2800</v>
      </c>
      <c r="P186" s="9" t="n">
        <f aca="false">IFERROR(Rohdaten!C186*100/Rohdaten!T186,"–")</f>
        <v>466.666666666667</v>
      </c>
      <c r="Q186" s="9" t="n">
        <f aca="false">IFERROR(Rohdaten!C186*100/Rohdaten!U186,"–")</f>
        <v>2000</v>
      </c>
      <c r="R186" s="8" t="n">
        <f aca="false">IFERROR(Rohdaten!C186*100/Rohdaten!V186,"–")</f>
        <v>140</v>
      </c>
      <c r="S186" s="8" t="n">
        <f aca="false">IFERROR(Rohdaten!C186*100/Rohdaten!W186,"–")</f>
        <v>1555.55555555556</v>
      </c>
      <c r="T186" s="8" t="n">
        <f aca="false">IFERROR(Rohdaten!C186*100/Rohdaten!X186,"–")</f>
        <v>70</v>
      </c>
      <c r="U186" s="8" t="n">
        <f aca="false">IFERROR(Rohdaten!C186*100/Rohdaten!Y186,"–")</f>
        <v>700</v>
      </c>
      <c r="V186" s="8" t="n">
        <f aca="false">IFERROR(Rohdaten!C186*100/Rohdaten!Z186,"–")</f>
        <v>3.68421052631579</v>
      </c>
    </row>
    <row r="187" customFormat="false" ht="15" hidden="false" customHeight="true" outlineLevel="0" collapsed="false">
      <c r="A187" s="4" t="str">
        <f aca="false">Rohdaten!A187</f>
        <v>Basilikum, frisch</v>
      </c>
      <c r="B187" s="8" t="n">
        <f aca="false">Rohdaten!C187</f>
        <v>0.6</v>
      </c>
      <c r="C187" s="8" t="n">
        <f aca="false">IFERROR(Rohdaten!C187*100/Rohdaten!G187,"–")</f>
        <v>2.60869565217391</v>
      </c>
      <c r="D187" s="8" t="n">
        <f aca="false">IFERROR(Rohdaten!C187*100/(Rohdaten!H187*9),"–")</f>
        <v>11.1111111111111</v>
      </c>
      <c r="E187" s="8" t="n">
        <f aca="false">IFERROR(Rohdaten!C187*100/(Rohdaten!I187*4),"–")</f>
        <v>4.6875</v>
      </c>
      <c r="F187" s="8" t="n">
        <f aca="false">IFERROR(Rohdaten!C187*100/(Rohdaten!J187*4),"–")</f>
        <v>5.76923076923077</v>
      </c>
      <c r="G187" s="9" t="n">
        <f aca="false">IFERROR(Rohdaten!C187*100/Rohdaten!K187,"–")</f>
        <v>0.227272727272727</v>
      </c>
      <c r="H187" s="8" t="n">
        <f aca="false">IFERROR(Rohdaten!C187*100/Rohdaten!L187,"–")</f>
        <v>3.33333333333333</v>
      </c>
      <c r="I187" s="9" t="str">
        <f aca="false">IFERROR(Rohdaten!C187*100/Rohdaten!M187,"–")</f>
        <v>–</v>
      </c>
      <c r="J187" s="8" t="n">
        <f aca="false">IFERROR(Rohdaten!C187*100/Rohdaten!N187,"–")</f>
        <v>75</v>
      </c>
      <c r="K187" s="9" t="n">
        <f aca="false">IFERROR(Rohdaten!C187*100/Rohdaten!O187,"–")</f>
        <v>0.144578313253012</v>
      </c>
      <c r="L187" s="8" t="n">
        <f aca="false">IFERROR(Rohdaten!C187*100/Rohdaten!P187,"–")</f>
        <v>2000</v>
      </c>
      <c r="M187" s="8" t="n">
        <f aca="false">IFERROR(Rohdaten!C187*100/Rohdaten!Q187,"–")</f>
        <v>750</v>
      </c>
      <c r="N187" s="8" t="n">
        <f aca="false">IFERROR(Rohdaten!C187*100/Rohdaten!R187,"–")</f>
        <v>66.6666666666667</v>
      </c>
      <c r="O187" s="8" t="n">
        <f aca="false">IFERROR(Rohdaten!C187*100/Rohdaten!S187,"–")</f>
        <v>375</v>
      </c>
      <c r="P187" s="9" t="n">
        <f aca="false">IFERROR(Rohdaten!C187*100/Rohdaten!T187,"–")</f>
        <v>0.882352941176471</v>
      </c>
      <c r="Q187" s="9" t="str">
        <f aca="false">IFERROR(Rohdaten!C187*100/Rohdaten!U187,"–")</f>
        <v>–</v>
      </c>
      <c r="R187" s="8" t="n">
        <f aca="false">IFERROR(Rohdaten!C187*100/Rohdaten!V187,"–")</f>
        <v>0.338983050847458</v>
      </c>
      <c r="S187" s="8" t="n">
        <f aca="false">IFERROR(Rohdaten!C187*100/Rohdaten!W187,"–")</f>
        <v>18.75</v>
      </c>
      <c r="T187" s="8" t="n">
        <f aca="false">IFERROR(Rohdaten!C187*100/Rohdaten!X187,"–")</f>
        <v>0.9375</v>
      </c>
      <c r="U187" s="8" t="n">
        <f aca="false">IFERROR(Rohdaten!C187*100/Rohdaten!Y187,"–")</f>
        <v>75</v>
      </c>
      <c r="V187" s="8" t="n">
        <f aca="false">IFERROR(Rohdaten!C187*100/Rohdaten!Z187,"–")</f>
        <v>0.203389830508475</v>
      </c>
    </row>
    <row r="188" customFormat="false" ht="15" hidden="false" customHeight="true" outlineLevel="0" collapsed="false">
      <c r="A188" s="4" t="str">
        <f aca="false">Rohdaten!A188</f>
        <v>Petersilie, frisch</v>
      </c>
      <c r="B188" s="8" t="n">
        <f aca="false">Rohdaten!C188</f>
        <v>0.5</v>
      </c>
      <c r="C188" s="8" t="n">
        <f aca="false">IFERROR(Rohdaten!C188*100/Rohdaten!G188,"–")</f>
        <v>1.38888888888889</v>
      </c>
      <c r="D188" s="8" t="n">
        <f aca="false">IFERROR(Rohdaten!C188*100/(Rohdaten!H188*9),"–")</f>
        <v>6.94444444444445</v>
      </c>
      <c r="E188" s="8" t="n">
        <f aca="false">IFERROR(Rohdaten!C188*100/(Rohdaten!I188*4),"–")</f>
        <v>4.16666666666667</v>
      </c>
      <c r="F188" s="8" t="n">
        <f aca="false">IFERROR(Rohdaten!C188*100/(Rohdaten!J188*4),"–")</f>
        <v>1.98412698412698</v>
      </c>
      <c r="G188" s="9" t="n">
        <f aca="false">IFERROR(Rohdaten!C188*100/Rohdaten!K188,"–")</f>
        <v>0.118764845605701</v>
      </c>
      <c r="H188" s="8" t="n">
        <f aca="false">IFERROR(Rohdaten!C188*100/Rohdaten!L188,"–")</f>
        <v>0.37593984962406</v>
      </c>
      <c r="I188" s="9" t="str">
        <f aca="false">IFERROR(Rohdaten!C188*100/Rohdaten!M188,"–")</f>
        <v>–</v>
      </c>
      <c r="J188" s="8" t="n">
        <f aca="false">IFERROR(Rohdaten!C188*100/Rohdaten!N188,"–")</f>
        <v>62.5</v>
      </c>
      <c r="K188" s="9" t="n">
        <f aca="false">IFERROR(Rohdaten!C188*100/Rohdaten!O188,"–")</f>
        <v>0.0304878048780488</v>
      </c>
      <c r="L188" s="8" t="n">
        <f aca="false">IFERROR(Rohdaten!C188*100/Rohdaten!P188,"–")</f>
        <v>555.555555555556</v>
      </c>
      <c r="M188" s="8" t="n">
        <f aca="false">IFERROR(Rohdaten!C188*100/Rohdaten!Q188,"–")</f>
        <v>500</v>
      </c>
      <c r="N188" s="8" t="n">
        <f aca="false">IFERROR(Rohdaten!C188*100/Rohdaten!R188,"–")</f>
        <v>38.4615384615385</v>
      </c>
      <c r="O188" s="8" t="n">
        <f aca="false">IFERROR(Rohdaten!C188*100/Rohdaten!S188,"–")</f>
        <v>555.555555555556</v>
      </c>
      <c r="P188" s="9" t="n">
        <f aca="false">IFERROR(Rohdaten!C188*100/Rohdaten!T188,"–")</f>
        <v>0.328947368421053</v>
      </c>
      <c r="Q188" s="9" t="str">
        <f aca="false">IFERROR(Rohdaten!C188*100/Rohdaten!U188,"–")</f>
        <v>–</v>
      </c>
      <c r="R188" s="8" t="n">
        <f aca="false">IFERROR(Rohdaten!C188*100/Rohdaten!V188,"–")</f>
        <v>0.36231884057971</v>
      </c>
      <c r="S188" s="8" t="n">
        <f aca="false">IFERROR(Rohdaten!C188*100/Rohdaten!W188,"–")</f>
        <v>8.06451612903226</v>
      </c>
      <c r="T188" s="8" t="n">
        <f aca="false">IFERROR(Rohdaten!C188*100/Rohdaten!X188,"–")</f>
        <v>1</v>
      </c>
      <c r="U188" s="8" t="n">
        <f aca="false">IFERROR(Rohdaten!C188*100/Rohdaten!Y188,"–")</f>
        <v>45.4545454545455</v>
      </c>
      <c r="V188" s="8" t="n">
        <f aca="false">IFERROR(Rohdaten!C188*100/Rohdaten!Z188,"–")</f>
        <v>0.0902527075812274</v>
      </c>
    </row>
    <row r="189" customFormat="false" ht="15" hidden="false" customHeight="true" outlineLevel="0" collapsed="false">
      <c r="A189" s="4" t="str">
        <f aca="false">Rohdaten!A189</f>
        <v>Schnittlauch, frisch</v>
      </c>
      <c r="B189" s="8" t="n">
        <f aca="false">Rohdaten!C189</f>
        <v>0.5</v>
      </c>
      <c r="C189" s="8" t="n">
        <f aca="false">IFERROR(Rohdaten!C189*100/Rohdaten!G189,"–")</f>
        <v>1.66666666666667</v>
      </c>
      <c r="D189" s="8" t="n">
        <f aca="false">IFERROR(Rohdaten!C189*100/(Rohdaten!H189*9),"–")</f>
        <v>7.93650793650794</v>
      </c>
      <c r="E189" s="8" t="n">
        <f aca="false">IFERROR(Rohdaten!C189*100/(Rohdaten!I189*4),"–")</f>
        <v>3.78787878787879</v>
      </c>
      <c r="F189" s="8" t="n">
        <f aca="false">IFERROR(Rohdaten!C189*100/(Rohdaten!J189*4),"–")</f>
        <v>2.84090909090909</v>
      </c>
      <c r="G189" s="9" t="n">
        <f aca="false">IFERROR(Rohdaten!C189*100/Rohdaten!K189,"–")</f>
        <v>0.229357798165138</v>
      </c>
      <c r="H189" s="8" t="n">
        <f aca="false">IFERROR(Rohdaten!C189*100/Rohdaten!L189,"–")</f>
        <v>0.862068965517241</v>
      </c>
      <c r="I189" s="9" t="str">
        <f aca="false">IFERROR(Rohdaten!C189*100/Rohdaten!M189,"–")</f>
        <v>–</v>
      </c>
      <c r="J189" s="8" t="n">
        <f aca="false">IFERROR(Rohdaten!C189*100/Rohdaten!N189,"–")</f>
        <v>250</v>
      </c>
      <c r="K189" s="9" t="n">
        <f aca="false">IFERROR(Rohdaten!C189*100/Rohdaten!O189,"–")</f>
        <v>0.234741784037559</v>
      </c>
      <c r="L189" s="8" t="n">
        <f aca="false">IFERROR(Rohdaten!C189*100/Rohdaten!P189,"–")</f>
        <v>625</v>
      </c>
      <c r="M189" s="8" t="n">
        <f aca="false">IFERROR(Rohdaten!C189*100/Rohdaten!Q189,"–")</f>
        <v>294.117647058824</v>
      </c>
      <c r="N189" s="8" t="n">
        <f aca="false">IFERROR(Rohdaten!C189*100/Rohdaten!R189,"–")</f>
        <v>83.3333333333333</v>
      </c>
      <c r="O189" s="8" t="n">
        <f aca="false">IFERROR(Rohdaten!C189*100/Rohdaten!S189,"–")</f>
        <v>384.615384615385</v>
      </c>
      <c r="P189" s="9" t="n">
        <f aca="false">IFERROR(Rohdaten!C189*100/Rohdaten!T189,"–")</f>
        <v>0.476190476190476</v>
      </c>
      <c r="Q189" s="9" t="str">
        <f aca="false">IFERROR(Rohdaten!C189*100/Rohdaten!U189,"–")</f>
        <v>–</v>
      </c>
      <c r="R189" s="8" t="n">
        <f aca="false">IFERROR(Rohdaten!C189*100/Rohdaten!V189,"–")</f>
        <v>0.543478260869565</v>
      </c>
      <c r="S189" s="8" t="n">
        <f aca="false">IFERROR(Rohdaten!C189*100/Rohdaten!W189,"–")</f>
        <v>31.25</v>
      </c>
      <c r="T189" s="8" t="n">
        <f aca="false">IFERROR(Rohdaten!C189*100/Rohdaten!X189,"–")</f>
        <v>1.19047619047619</v>
      </c>
      <c r="U189" s="8" t="n">
        <f aca="false">IFERROR(Rohdaten!C189*100/Rohdaten!Y189,"–")</f>
        <v>83.3333333333333</v>
      </c>
      <c r="V189" s="8" t="n">
        <f aca="false">IFERROR(Rohdaten!C189*100/Rohdaten!Z189,"–")</f>
        <v>0.168918918918919</v>
      </c>
    </row>
    <row r="190" customFormat="false" ht="15" hidden="false" customHeight="true" outlineLevel="0" collapsed="false">
      <c r="A190" s="4" t="str">
        <f aca="false">Rohdaten!A190</f>
        <v>Dill, frisch</v>
      </c>
      <c r="B190" s="8" t="n">
        <f aca="false">Rohdaten!C190</f>
        <v>0.5</v>
      </c>
      <c r="C190" s="8" t="n">
        <f aca="false">IFERROR(Rohdaten!C190*100/Rohdaten!G190,"–")</f>
        <v>1.16279069767442</v>
      </c>
      <c r="D190" s="8" t="n">
        <f aca="false">IFERROR(Rohdaten!C190*100/(Rohdaten!H190*9),"–")</f>
        <v>5.05050505050505</v>
      </c>
      <c r="E190" s="8" t="n">
        <f aca="false">IFERROR(Rohdaten!C190*100/(Rohdaten!I190*4),"–")</f>
        <v>3.57142857142857</v>
      </c>
      <c r="F190" s="8" t="n">
        <f aca="false">IFERROR(Rohdaten!C190*100/(Rohdaten!J190*4),"–")</f>
        <v>1.78571428571429</v>
      </c>
      <c r="G190" s="9" t="n">
        <f aca="false">IFERROR(Rohdaten!C190*100/Rohdaten!K190,"–")</f>
        <v>0.129533678756477</v>
      </c>
      <c r="H190" s="8" t="n">
        <f aca="false">IFERROR(Rohdaten!C190*100/Rohdaten!L190,"–")</f>
        <v>0.588235294117647</v>
      </c>
      <c r="I190" s="9" t="str">
        <f aca="false">IFERROR(Rohdaten!C190*100/Rohdaten!M190,"–")</f>
        <v>–</v>
      </c>
      <c r="J190" s="8" t="n">
        <f aca="false">IFERROR(Rohdaten!C190*100/Rohdaten!N190,"–")</f>
        <v>29.4117647058824</v>
      </c>
      <c r="K190" s="9" t="n">
        <f aca="false">IFERROR(Rohdaten!C190*100/Rohdaten!O190,"–")</f>
        <v>0.0643500643500644</v>
      </c>
      <c r="L190" s="8" t="n">
        <f aca="false">IFERROR(Rohdaten!C190*100/Rohdaten!P190,"–")</f>
        <v>833.333333333333</v>
      </c>
      <c r="M190" s="8" t="n">
        <f aca="false">IFERROR(Rohdaten!C190*100/Rohdaten!Q190,"–")</f>
        <v>166.666666666667</v>
      </c>
      <c r="N190" s="8" t="n">
        <f aca="false">IFERROR(Rohdaten!C190*100/Rohdaten!R190,"–")</f>
        <v>31.25</v>
      </c>
      <c r="O190" s="8" t="n">
        <f aca="false">IFERROR(Rohdaten!C190*100/Rohdaten!S190,"–")</f>
        <v>263.157894736842</v>
      </c>
      <c r="P190" s="9" t="n">
        <f aca="false">IFERROR(Rohdaten!C190*100/Rohdaten!T190,"–")</f>
        <v>0.333333333333333</v>
      </c>
      <c r="Q190" s="9" t="str">
        <f aca="false">IFERROR(Rohdaten!C190*100/Rohdaten!U190,"–")</f>
        <v>–</v>
      </c>
      <c r="R190" s="8" t="n">
        <f aca="false">IFERROR(Rohdaten!C190*100/Rohdaten!V190,"–")</f>
        <v>0.240384615384615</v>
      </c>
      <c r="S190" s="8" t="n">
        <f aca="false">IFERROR(Rohdaten!C190*100/Rohdaten!W190,"–")</f>
        <v>7.57575757575758</v>
      </c>
      <c r="T190" s="8" t="n">
        <f aca="false">IFERROR(Rohdaten!C190*100/Rohdaten!X190,"–")</f>
        <v>0.909090909090909</v>
      </c>
      <c r="U190" s="8" t="n">
        <f aca="false">IFERROR(Rohdaten!C190*100/Rohdaten!Y190,"–")</f>
        <v>55.5555555555556</v>
      </c>
      <c r="V190" s="8" t="n">
        <f aca="false">IFERROR(Rohdaten!C190*100/Rohdaten!Z190,"–")</f>
        <v>0.0677506775067751</v>
      </c>
    </row>
    <row r="191" customFormat="false" ht="15" hidden="false" customHeight="true" outlineLevel="0" collapsed="false">
      <c r="A191" s="4" t="str">
        <f aca="false">Rohdaten!A191</f>
        <v>Koriander, frisch</v>
      </c>
      <c r="B191" s="8" t="n">
        <f aca="false">Rohdaten!C191</f>
        <v>0.6</v>
      </c>
      <c r="C191" s="8" t="n">
        <f aca="false">IFERROR(Rohdaten!C191*100/Rohdaten!G191,"–")</f>
        <v>2.60869565217391</v>
      </c>
      <c r="D191" s="8" t="n">
        <f aca="false">IFERROR(Rohdaten!C191*100/(Rohdaten!H191*9),"–")</f>
        <v>13.3333333333333</v>
      </c>
      <c r="E191" s="8" t="n">
        <f aca="false">IFERROR(Rohdaten!C191*100/(Rohdaten!I191*4),"–")</f>
        <v>7.14285714285714</v>
      </c>
      <c r="F191" s="8" t="n">
        <f aca="false">IFERROR(Rohdaten!C191*100/(Rohdaten!J191*4),"–")</f>
        <v>4.05405405405405</v>
      </c>
      <c r="G191" s="9" t="n">
        <f aca="false">IFERROR(Rohdaten!C191*100/Rohdaten!K191,"–")</f>
        <v>0.178041543026706</v>
      </c>
      <c r="H191" s="8" t="n">
        <f aca="false">IFERROR(Rohdaten!C191*100/Rohdaten!L191,"–")</f>
        <v>2.22222222222222</v>
      </c>
      <c r="I191" s="9" t="str">
        <f aca="false">IFERROR(Rohdaten!C191*100/Rohdaten!M191,"–")</f>
        <v>–</v>
      </c>
      <c r="J191" s="8" t="n">
        <f aca="false">IFERROR(Rohdaten!C191*100/Rohdaten!N191,"–")</f>
        <v>24</v>
      </c>
      <c r="K191" s="9" t="n">
        <f aca="false">IFERROR(Rohdaten!C191*100/Rohdaten!O191,"–")</f>
        <v>0.193548387096774</v>
      </c>
      <c r="L191" s="8" t="n">
        <f aca="false">IFERROR(Rohdaten!C191*100/Rohdaten!P191,"–")</f>
        <v>857.142857142857</v>
      </c>
      <c r="M191" s="8" t="n">
        <f aca="false">IFERROR(Rohdaten!C191*100/Rohdaten!Q191,"–")</f>
        <v>375</v>
      </c>
      <c r="N191" s="8" t="n">
        <f aca="false">IFERROR(Rohdaten!C191*100/Rohdaten!R191,"–")</f>
        <v>54.5454545454545</v>
      </c>
      <c r="O191" s="8" t="n">
        <f aca="false">IFERROR(Rohdaten!C191*100/Rohdaten!S191,"–")</f>
        <v>400</v>
      </c>
      <c r="P191" s="9" t="n">
        <f aca="false">IFERROR(Rohdaten!C191*100/Rohdaten!T191,"–")</f>
        <v>0.967741935483871</v>
      </c>
      <c r="Q191" s="9" t="str">
        <f aca="false">IFERROR(Rohdaten!C191*100/Rohdaten!U191,"–")</f>
        <v>–</v>
      </c>
      <c r="R191" s="8" t="n">
        <f aca="false">IFERROR(Rohdaten!C191*100/Rohdaten!V191,"–")</f>
        <v>0.895522388059702</v>
      </c>
      <c r="S191" s="8" t="n">
        <f aca="false">IFERROR(Rohdaten!C191*100/Rohdaten!W191,"–")</f>
        <v>33.3333333333333</v>
      </c>
      <c r="T191" s="8" t="n">
        <f aca="false">IFERROR(Rohdaten!C191*100/Rohdaten!X191,"–")</f>
        <v>2.30769230769231</v>
      </c>
      <c r="U191" s="8" t="n">
        <f aca="false">IFERROR(Rohdaten!C191*100/Rohdaten!Y191,"–")</f>
        <v>120</v>
      </c>
      <c r="V191" s="8" t="n">
        <f aca="false">IFERROR(Rohdaten!C191*100/Rohdaten!Z191,"–")</f>
        <v>0.115163147792706</v>
      </c>
    </row>
    <row r="192" customFormat="false" ht="15" hidden="false" customHeight="true" outlineLevel="0" collapsed="false">
      <c r="A192" s="4" t="str">
        <f aca="false">Rohdaten!A192</f>
        <v>Minze, frisch</v>
      </c>
      <c r="B192" s="8" t="n">
        <f aca="false">Rohdaten!C192</f>
        <v>0.5</v>
      </c>
      <c r="C192" s="8" t="n">
        <f aca="false">IFERROR(Rohdaten!C192*100/Rohdaten!G192,"–")</f>
        <v>0.714285714285714</v>
      </c>
      <c r="D192" s="8" t="n">
        <f aca="false">IFERROR(Rohdaten!C192*100/(Rohdaten!H192*9),"–")</f>
        <v>6.17283950617284</v>
      </c>
      <c r="E192" s="8" t="n">
        <f aca="false">IFERROR(Rohdaten!C192*100/(Rohdaten!I192*4),"–")</f>
        <v>3.28947368421053</v>
      </c>
      <c r="F192" s="8" t="n">
        <f aca="false">IFERROR(Rohdaten!C192*100/(Rohdaten!J192*4),"–")</f>
        <v>0.833333333333333</v>
      </c>
      <c r="G192" s="9" t="n">
        <f aca="false">IFERROR(Rohdaten!C192*100/Rohdaten!K192,"–")</f>
        <v>0.235849056603774</v>
      </c>
      <c r="H192" s="8" t="n">
        <f aca="false">IFERROR(Rohdaten!C192*100/Rohdaten!L192,"–")</f>
        <v>1.5625</v>
      </c>
      <c r="I192" s="9" t="str">
        <f aca="false">IFERROR(Rohdaten!C192*100/Rohdaten!M192,"–")</f>
        <v>–</v>
      </c>
      <c r="J192" s="8" t="n">
        <f aca="false">IFERROR(Rohdaten!C192*100/Rohdaten!N192,"–")</f>
        <v>33.3333333333333</v>
      </c>
      <c r="K192" s="9" t="n">
        <f aca="false">IFERROR(Rohdaten!C192*100/Rohdaten!O192,"–")</f>
        <v>0.235849056603774</v>
      </c>
      <c r="L192" s="8" t="n">
        <f aca="false">IFERROR(Rohdaten!C192*100/Rohdaten!P192,"–")</f>
        <v>625</v>
      </c>
      <c r="M192" s="8" t="n">
        <f aca="false">IFERROR(Rohdaten!C192*100/Rohdaten!Q192,"–")</f>
        <v>277.777777777778</v>
      </c>
      <c r="N192" s="8" t="n">
        <f aca="false">IFERROR(Rohdaten!C192*100/Rohdaten!R192,"–")</f>
        <v>29.4117647058824</v>
      </c>
      <c r="O192" s="8" t="n">
        <f aca="false">IFERROR(Rohdaten!C192*100/Rohdaten!S192,"–")</f>
        <v>384.615384615385</v>
      </c>
      <c r="P192" s="9" t="n">
        <f aca="false">IFERROR(Rohdaten!C192*100/Rohdaten!T192,"–")</f>
        <v>0.43859649122807</v>
      </c>
      <c r="Q192" s="9" t="str">
        <f aca="false">IFERROR(Rohdaten!C192*100/Rohdaten!U192,"–")</f>
        <v>–</v>
      </c>
      <c r="R192" s="8" t="n">
        <f aca="false">IFERROR(Rohdaten!C192*100/Rohdaten!V192,"–")</f>
        <v>0.251256281407035</v>
      </c>
      <c r="S192" s="8" t="n">
        <f aca="false">IFERROR(Rohdaten!C192*100/Rohdaten!W192,"–")</f>
        <v>9.80392156862745</v>
      </c>
      <c r="T192" s="8" t="n">
        <f aca="false">IFERROR(Rohdaten!C192*100/Rohdaten!X192,"–")</f>
        <v>0.625</v>
      </c>
      <c r="U192" s="8" t="n">
        <f aca="false">IFERROR(Rohdaten!C192*100/Rohdaten!Y192,"–")</f>
        <v>45.4545454545455</v>
      </c>
      <c r="V192" s="8" t="n">
        <f aca="false">IFERROR(Rohdaten!C192*100/Rohdaten!Z192,"–")</f>
        <v>0.0878734622144113</v>
      </c>
    </row>
    <row r="193" customFormat="false" ht="15" hidden="false" customHeight="true" outlineLevel="0" collapsed="false">
      <c r="A193" s="4" t="str">
        <f aca="false">Rohdaten!A193</f>
        <v>Rosmarin, frisch</v>
      </c>
      <c r="B193" s="8" t="n">
        <f aca="false">Rohdaten!C193</f>
        <v>0.6</v>
      </c>
      <c r="C193" s="8" t="n">
        <f aca="false">IFERROR(Rohdaten!C193*100/Rohdaten!G193,"–")</f>
        <v>0.458015267175573</v>
      </c>
      <c r="D193" s="8" t="n">
        <f aca="false">IFERROR(Rohdaten!C193*100/(Rohdaten!H193*9),"–")</f>
        <v>1.12994350282486</v>
      </c>
      <c r="E193" s="8" t="n">
        <f aca="false">IFERROR(Rohdaten!C193*100/(Rohdaten!I193*4),"–")</f>
        <v>4.54545454545455</v>
      </c>
      <c r="F193" s="8" t="n">
        <f aca="false">IFERROR(Rohdaten!C193*100/(Rohdaten!J193*4),"–")</f>
        <v>0.72463768115942</v>
      </c>
      <c r="G193" s="9" t="n">
        <f aca="false">IFERROR(Rohdaten!C193*100/Rohdaten!K193,"–")</f>
        <v>0.410958904109589</v>
      </c>
      <c r="H193" s="8" t="n">
        <f aca="false">IFERROR(Rohdaten!C193*100/Rohdaten!L193,"–")</f>
        <v>2.72727272727273</v>
      </c>
      <c r="I193" s="9" t="str">
        <f aca="false">IFERROR(Rohdaten!C193*100/Rohdaten!M193,"–")</f>
        <v>–</v>
      </c>
      <c r="J193" s="8" t="n">
        <f aca="false">IFERROR(Rohdaten!C193*100/Rohdaten!N193,"–")</f>
        <v>20.6896551724138</v>
      </c>
      <c r="K193" s="9" t="n">
        <f aca="false">IFERROR(Rohdaten!C193*100/Rohdaten!O193,"–")</f>
        <v>1.03448275862069</v>
      </c>
      <c r="L193" s="8" t="n">
        <f aca="false">IFERROR(Rohdaten!C193*100/Rohdaten!P193,"–")</f>
        <v>1500</v>
      </c>
      <c r="M193" s="8" t="n">
        <f aca="false">IFERROR(Rohdaten!C193*100/Rohdaten!Q193,"–")</f>
        <v>400</v>
      </c>
      <c r="N193" s="8" t="n">
        <f aca="false">IFERROR(Rohdaten!C193*100/Rohdaten!R193,"–")</f>
        <v>50</v>
      </c>
      <c r="O193" s="8" t="n">
        <f aca="false">IFERROR(Rohdaten!C193*100/Rohdaten!S193,"–")</f>
        <v>136.363636363636</v>
      </c>
      <c r="P193" s="9" t="n">
        <f aca="false">IFERROR(Rohdaten!C193*100/Rohdaten!T193,"–")</f>
        <v>0.55045871559633</v>
      </c>
      <c r="Q193" s="9" t="str">
        <f aca="false">IFERROR(Rohdaten!C193*100/Rohdaten!U193,"–")</f>
        <v>–</v>
      </c>
      <c r="R193" s="8" t="n">
        <f aca="false">IFERROR(Rohdaten!C193*100/Rohdaten!V193,"–")</f>
        <v>0.189274447949527</v>
      </c>
      <c r="S193" s="8" t="n">
        <f aca="false">IFERROR(Rohdaten!C193*100/Rohdaten!W193,"–")</f>
        <v>8.95522388059701</v>
      </c>
      <c r="T193" s="8" t="n">
        <f aca="false">IFERROR(Rohdaten!C193*100/Rohdaten!X193,"–")</f>
        <v>0.659340659340659</v>
      </c>
      <c r="U193" s="8" t="n">
        <f aca="false">IFERROR(Rohdaten!C193*100/Rohdaten!Y193,"–")</f>
        <v>66.6666666666667</v>
      </c>
      <c r="V193" s="8" t="n">
        <f aca="false">IFERROR(Rohdaten!C193*100/Rohdaten!Z193,"–")</f>
        <v>0.0898203592814371</v>
      </c>
    </row>
    <row r="194" customFormat="false" ht="15" hidden="false" customHeight="true" outlineLevel="0" collapsed="false">
      <c r="A194" s="4" t="str">
        <f aca="false">Rohdaten!A194</f>
        <v>Thymian, frisch</v>
      </c>
      <c r="B194" s="8" t="n">
        <f aca="false">Rohdaten!C194</f>
        <v>0.6</v>
      </c>
      <c r="C194" s="8" t="n">
        <f aca="false">IFERROR(Rohdaten!C194*100/Rohdaten!G194,"–")</f>
        <v>0.594059405940594</v>
      </c>
      <c r="D194" s="8" t="n">
        <f aca="false">IFERROR(Rohdaten!C194*100/(Rohdaten!H194*9),"–")</f>
        <v>3.92156862745098</v>
      </c>
      <c r="E194" s="8" t="n">
        <f aca="false">IFERROR(Rohdaten!C194*100/(Rohdaten!I194*4),"–")</f>
        <v>2.67857142857143</v>
      </c>
      <c r="F194" s="8" t="n">
        <f aca="false">IFERROR(Rohdaten!C194*100/(Rohdaten!J194*4),"–")</f>
        <v>0.612244897959184</v>
      </c>
      <c r="G194" s="9" t="n">
        <f aca="false">IFERROR(Rohdaten!C194*100/Rohdaten!K194,"–")</f>
        <v>0.315789473684211</v>
      </c>
      <c r="H194" s="8" t="n">
        <f aca="false">IFERROR(Rohdaten!C194*100/Rohdaten!L194,"–")</f>
        <v>0.375</v>
      </c>
      <c r="I194" s="9" t="str">
        <f aca="false">IFERROR(Rohdaten!C194*100/Rohdaten!M194,"–")</f>
        <v>–</v>
      </c>
      <c r="J194" s="8" t="n">
        <f aca="false">IFERROR(Rohdaten!C194*100/Rohdaten!N194,"–")</f>
        <v>35.2941176470588</v>
      </c>
      <c r="K194" s="9" t="n">
        <f aca="false">IFERROR(Rohdaten!C194*100/Rohdaten!O194,"–")</f>
        <v>0.0349854227405248</v>
      </c>
      <c r="L194" s="8" t="n">
        <f aca="false">IFERROR(Rohdaten!C194*100/Rohdaten!P194,"–")</f>
        <v>1200</v>
      </c>
      <c r="M194" s="8" t="n">
        <f aca="false">IFERROR(Rohdaten!C194*100/Rohdaten!Q194,"–")</f>
        <v>127.659574468085</v>
      </c>
      <c r="N194" s="8" t="n">
        <f aca="false">IFERROR(Rohdaten!C194*100/Rohdaten!R194,"–")</f>
        <v>28.5714285714286</v>
      </c>
      <c r="O194" s="8" t="n">
        <f aca="false">IFERROR(Rohdaten!C194*100/Rohdaten!S194,"–")</f>
        <v>176.470588235294</v>
      </c>
      <c r="P194" s="9" t="n">
        <f aca="false">IFERROR(Rohdaten!C194*100/Rohdaten!T194,"–")</f>
        <v>1.33333333333333</v>
      </c>
      <c r="Q194" s="9" t="str">
        <f aca="false">IFERROR(Rohdaten!C194*100/Rohdaten!U194,"–")</f>
        <v>–</v>
      </c>
      <c r="R194" s="8" t="n">
        <f aca="false">IFERROR(Rohdaten!C194*100/Rohdaten!V194,"–")</f>
        <v>0.148148148148148</v>
      </c>
      <c r="S194" s="8" t="n">
        <f aca="false">IFERROR(Rohdaten!C194*100/Rohdaten!W194,"–")</f>
        <v>6.31578947368421</v>
      </c>
      <c r="T194" s="8" t="n">
        <f aca="false">IFERROR(Rohdaten!C194*100/Rohdaten!X194,"–")</f>
        <v>0.375</v>
      </c>
      <c r="U194" s="8" t="n">
        <f aca="false">IFERROR(Rohdaten!C194*100/Rohdaten!Y194,"–")</f>
        <v>33.3333333333333</v>
      </c>
      <c r="V194" s="8" t="n">
        <f aca="false">IFERROR(Rohdaten!C194*100/Rohdaten!Z194,"–")</f>
        <v>0.0985221674876847</v>
      </c>
    </row>
    <row r="195" customFormat="false" ht="15" hidden="false" customHeight="true" outlineLevel="0" collapsed="false">
      <c r="A195" s="4" t="str">
        <f aca="false">Rohdaten!A195</f>
        <v>Salbei, frisch</v>
      </c>
      <c r="B195" s="8" t="n">
        <f aca="false">Rohdaten!C195</f>
        <v>0.6</v>
      </c>
      <c r="C195" s="8" t="n">
        <f aca="false">IFERROR(Rohdaten!C195*100/Rohdaten!G195,"–")</f>
        <v>0.19047619047619</v>
      </c>
      <c r="D195" s="8" t="n">
        <f aca="false">IFERROR(Rohdaten!C195*100/(Rohdaten!H195*9),"–")</f>
        <v>0.520833333333333</v>
      </c>
      <c r="E195" s="8" t="n">
        <f aca="false">IFERROR(Rohdaten!C195*100/(Rohdaten!I195*4),"–")</f>
        <v>1.41509433962264</v>
      </c>
      <c r="F195" s="8" t="n">
        <f aca="false">IFERROR(Rohdaten!C195*100/(Rohdaten!J195*4),"–")</f>
        <v>0.247116968698517</v>
      </c>
      <c r="G195" s="9" t="n">
        <f aca="false">IFERROR(Rohdaten!C195*100/Rohdaten!K195,"–")</f>
        <v>0.202702702702703</v>
      </c>
      <c r="H195" s="8" t="n">
        <f aca="false">IFERROR(Rohdaten!C195*100/Rohdaten!L195,"–")</f>
        <v>1.875</v>
      </c>
      <c r="I195" s="9" t="str">
        <f aca="false">IFERROR(Rohdaten!C195*100/Rohdaten!M195,"–")</f>
        <v>–</v>
      </c>
      <c r="J195" s="8" t="n">
        <f aca="false">IFERROR(Rohdaten!C195*100/Rohdaten!N195,"–")</f>
        <v>8</v>
      </c>
      <c r="K195" s="9" t="n">
        <f aca="false">IFERROR(Rohdaten!C195*100/Rohdaten!O195,"–")</f>
        <v>0.0349854227405248</v>
      </c>
      <c r="L195" s="8" t="n">
        <f aca="false">IFERROR(Rohdaten!C195*100/Rohdaten!P195,"–")</f>
        <v>80</v>
      </c>
      <c r="M195" s="8" t="n">
        <f aca="false">IFERROR(Rohdaten!C195*100/Rohdaten!Q195,"–")</f>
        <v>176.470588235294</v>
      </c>
      <c r="N195" s="8" t="n">
        <f aca="false">IFERROR(Rohdaten!C195*100/Rohdaten!R195,"–")</f>
        <v>10.5263157894737</v>
      </c>
      <c r="O195" s="8" t="n">
        <f aca="false">IFERROR(Rohdaten!C195*100/Rohdaten!S195,"–")</f>
        <v>22.2222222222222</v>
      </c>
      <c r="P195" s="9" t="n">
        <f aca="false">IFERROR(Rohdaten!C195*100/Rohdaten!T195,"–")</f>
        <v>0.218978102189781</v>
      </c>
      <c r="Q195" s="9" t="str">
        <f aca="false">IFERROR(Rohdaten!C195*100/Rohdaten!U195,"–")</f>
        <v>–</v>
      </c>
      <c r="R195" s="8" t="n">
        <f aca="false">IFERROR(Rohdaten!C195*100/Rohdaten!V195,"–")</f>
        <v>0.036319612590799</v>
      </c>
      <c r="S195" s="8" t="n">
        <f aca="false">IFERROR(Rohdaten!C195*100/Rohdaten!W195,"–")</f>
        <v>2.14285714285714</v>
      </c>
      <c r="T195" s="8" t="n">
        <f aca="false">IFERROR(Rohdaten!C195*100/Rohdaten!X195,"–")</f>
        <v>0.14018691588785</v>
      </c>
      <c r="U195" s="8" t="n">
        <f aca="false">IFERROR(Rohdaten!C195*100/Rohdaten!Y195,"–")</f>
        <v>12.7659574468085</v>
      </c>
      <c r="V195" s="8" t="n">
        <f aca="false">IFERROR(Rohdaten!C195*100/Rohdaten!Z195,"–")</f>
        <v>0.0560747663551402</v>
      </c>
    </row>
    <row r="196" customFormat="false" ht="15" hidden="false" customHeight="true" outlineLevel="0" collapsed="false">
      <c r="A196" s="4" t="str">
        <f aca="false">Rohdaten!A196</f>
        <v>Oregano, frisch</v>
      </c>
      <c r="B196" s="8" t="n">
        <f aca="false">Rohdaten!C196</f>
        <v>0.6</v>
      </c>
      <c r="C196" s="8" t="n">
        <f aca="false">IFERROR(Rohdaten!C196*100/Rohdaten!G196,"–")</f>
        <v>0.226415094339623</v>
      </c>
      <c r="D196" s="8" t="n">
        <f aca="false">IFERROR(Rohdaten!C196*100/(Rohdaten!H196*9),"–")</f>
        <v>1.55038759689923</v>
      </c>
      <c r="E196" s="8" t="n">
        <f aca="false">IFERROR(Rohdaten!C196*100/(Rohdaten!I196*4),"–")</f>
        <v>1.66666666666667</v>
      </c>
      <c r="F196" s="8" t="n">
        <f aca="false">IFERROR(Rohdaten!C196*100/(Rohdaten!J196*4),"–")</f>
        <v>0.217391304347826</v>
      </c>
      <c r="G196" s="9" t="n">
        <f aca="false">IFERROR(Rohdaten!C196*100/Rohdaten!K196,"–")</f>
        <v>0.05</v>
      </c>
      <c r="H196" s="8" t="n">
        <f aca="false">IFERROR(Rohdaten!C196*100/Rohdaten!L196,"–")</f>
        <v>1.2</v>
      </c>
      <c r="I196" s="9" t="str">
        <f aca="false">IFERROR(Rohdaten!C196*100/Rohdaten!M196,"–")</f>
        <v>–</v>
      </c>
      <c r="J196" s="8" t="n">
        <f aca="false">IFERROR(Rohdaten!C196*100/Rohdaten!N196,"–")</f>
        <v>3.33333333333333</v>
      </c>
      <c r="K196" s="9" t="n">
        <f aca="false">IFERROR(Rohdaten!C196*100/Rohdaten!O196,"–")</f>
        <v>0.0964630225080386</v>
      </c>
      <c r="L196" s="8" t="n">
        <f aca="false">IFERROR(Rohdaten!C196*100/Rohdaten!P196,"–")</f>
        <v>333.333333333333</v>
      </c>
      <c r="M196" s="8" t="n">
        <f aca="false">IFERROR(Rohdaten!C196*100/Rohdaten!Q196,"–")</f>
        <v>113.207547169811</v>
      </c>
      <c r="N196" s="8" t="n">
        <f aca="false">IFERROR(Rohdaten!C196*100/Rohdaten!R196,"–")</f>
        <v>13.0434782608696</v>
      </c>
      <c r="O196" s="8" t="n">
        <f aca="false">IFERROR(Rohdaten!C196*100/Rohdaten!S196,"–")</f>
        <v>60</v>
      </c>
      <c r="P196" s="9" t="n">
        <f aca="false">IFERROR(Rohdaten!C196*100/Rohdaten!T196,"–")</f>
        <v>0.253164556962025</v>
      </c>
      <c r="Q196" s="9" t="str">
        <f aca="false">IFERROR(Rohdaten!C196*100/Rohdaten!U196,"–")</f>
        <v>–</v>
      </c>
      <c r="R196" s="8" t="n">
        <f aca="false">IFERROR(Rohdaten!C196*100/Rohdaten!V196,"–")</f>
        <v>0.0375704445835942</v>
      </c>
      <c r="S196" s="8" t="n">
        <f aca="false">IFERROR(Rohdaten!C196*100/Rohdaten!W196,"–")</f>
        <v>1.36363636363636</v>
      </c>
      <c r="T196" s="8" t="n">
        <f aca="false">IFERROR(Rohdaten!C196*100/Rohdaten!X196,"–")</f>
        <v>0.222222222222222</v>
      </c>
      <c r="U196" s="8" t="n">
        <f aca="false">IFERROR(Rohdaten!C196*100/Rohdaten!Y196,"–")</f>
        <v>26.0869565217391</v>
      </c>
      <c r="V196" s="8" t="n">
        <f aca="false">IFERROR(Rohdaten!C196*100/Rohdaten!Z196,"–")</f>
        <v>0.0476190476190476</v>
      </c>
    </row>
    <row r="197" customFormat="false" ht="15" hidden="false" customHeight="true" outlineLevel="0" collapsed="false">
      <c r="A197" s="4" t="str">
        <f aca="false">Rohdaten!A197</f>
        <v>Majoran, frisch</v>
      </c>
      <c r="B197" s="8" t="n">
        <f aca="false">Rohdaten!C197</f>
        <v>0.6</v>
      </c>
      <c r="C197" s="8" t="n">
        <f aca="false">IFERROR(Rohdaten!C197*100/Rohdaten!G197,"–")</f>
        <v>0.22140221402214</v>
      </c>
      <c r="D197" s="8" t="n">
        <f aca="false">IFERROR(Rohdaten!C197*100/(Rohdaten!H197*9),"–")</f>
        <v>0.952380952380952</v>
      </c>
      <c r="E197" s="8" t="n">
        <f aca="false">IFERROR(Rohdaten!C197*100/(Rohdaten!I197*4),"–")</f>
        <v>1.18110236220472</v>
      </c>
      <c r="F197" s="8" t="n">
        <f aca="false">IFERROR(Rohdaten!C197*100/(Rohdaten!J197*4),"–")</f>
        <v>0.247524752475248</v>
      </c>
      <c r="G197" s="9" t="n">
        <f aca="false">IFERROR(Rohdaten!C197*100/Rohdaten!K197,"–")</f>
        <v>0.387096774193548</v>
      </c>
      <c r="H197" s="8" t="n">
        <f aca="false">IFERROR(Rohdaten!C197*100/Rohdaten!L197,"–")</f>
        <v>1.15384615384615</v>
      </c>
      <c r="I197" s="9" t="str">
        <f aca="false">IFERROR(Rohdaten!C197*100/Rohdaten!M197,"–")</f>
        <v>–</v>
      </c>
      <c r="J197" s="8" t="n">
        <f aca="false">IFERROR(Rohdaten!C197*100/Rohdaten!N197,"–")</f>
        <v>17.1428571428571</v>
      </c>
      <c r="K197" s="9" t="n">
        <f aca="false">IFERROR(Rohdaten!C197*100/Rohdaten!O197,"–")</f>
        <v>0.0964630225080386</v>
      </c>
      <c r="L197" s="8" t="n">
        <f aca="false">IFERROR(Rohdaten!C197*100/Rohdaten!P197,"–")</f>
        <v>206.896551724138</v>
      </c>
      <c r="M197" s="8" t="n">
        <f aca="false">IFERROR(Rohdaten!C197*100/Rohdaten!Q197,"–")</f>
        <v>187.5</v>
      </c>
      <c r="N197" s="8" t="n">
        <f aca="false">IFERROR(Rohdaten!C197*100/Rohdaten!R197,"–")</f>
        <v>14.6341463414634</v>
      </c>
      <c r="O197" s="8" t="n">
        <f aca="false">IFERROR(Rohdaten!C197*100/Rohdaten!S197,"–")</f>
        <v>50</v>
      </c>
      <c r="P197" s="9" t="n">
        <f aca="false">IFERROR(Rohdaten!C197*100/Rohdaten!T197,"–")</f>
        <v>0.218978102189781</v>
      </c>
      <c r="Q197" s="9" t="str">
        <f aca="false">IFERROR(Rohdaten!C197*100/Rohdaten!U197,"–")</f>
        <v>–</v>
      </c>
      <c r="R197" s="8" t="n">
        <f aca="false">IFERROR(Rohdaten!C197*100/Rohdaten!V197,"–")</f>
        <v>0.0301507537688442</v>
      </c>
      <c r="S197" s="8" t="n">
        <f aca="false">IFERROR(Rohdaten!C197*100/Rohdaten!W197,"–")</f>
        <v>0.731707317073171</v>
      </c>
      <c r="T197" s="8" t="n">
        <f aca="false">IFERROR(Rohdaten!C197*100/Rohdaten!X197,"–")</f>
        <v>0.173410404624277</v>
      </c>
      <c r="U197" s="8" t="n">
        <f aca="false">IFERROR(Rohdaten!C197*100/Rohdaten!Y197,"–")</f>
        <v>16.6666666666667</v>
      </c>
      <c r="V197" s="8" t="n">
        <f aca="false">IFERROR(Rohdaten!C197*100/Rohdaten!Z197,"–")</f>
        <v>0.0394218134034166</v>
      </c>
    </row>
    <row r="198" customFormat="false" ht="15" hidden="false" customHeight="true" outlineLevel="0" collapsed="false">
      <c r="A198" s="4" t="str">
        <f aca="false">Rohdaten!A198</f>
        <v>Estragon, frisch</v>
      </c>
      <c r="B198" s="8" t="n">
        <f aca="false">Rohdaten!C198</f>
        <v>0.6</v>
      </c>
      <c r="C198" s="8" t="n">
        <f aca="false">IFERROR(Rohdaten!C198*100/Rohdaten!G198,"–")</f>
        <v>0.203389830508475</v>
      </c>
      <c r="D198" s="8" t="n">
        <f aca="false">IFERROR(Rohdaten!C198*100/(Rohdaten!H198*9),"–")</f>
        <v>0.925925925925926</v>
      </c>
      <c r="E198" s="8" t="n">
        <f aca="false">IFERROR(Rohdaten!C198*100/(Rohdaten!I198*4),"–")</f>
        <v>0.657894736842105</v>
      </c>
      <c r="F198" s="8" t="n">
        <f aca="false">IFERROR(Rohdaten!C198*100/(Rohdaten!J198*4),"–")</f>
        <v>0.298804780876494</v>
      </c>
      <c r="G198" s="9" t="n">
        <f aca="false">IFERROR(Rohdaten!C198*100/Rohdaten!K198,"–")</f>
        <v>0.142857142857143</v>
      </c>
      <c r="H198" s="8" t="n">
        <f aca="false">IFERROR(Rohdaten!C198*100/Rohdaten!L198,"–")</f>
        <v>1.2</v>
      </c>
      <c r="I198" s="9" t="str">
        <f aca="false">IFERROR(Rohdaten!C198*100/Rohdaten!M198,"–")</f>
        <v>–</v>
      </c>
      <c r="J198" s="8" t="n">
        <f aca="false">IFERROR(Rohdaten!C198*100/Rohdaten!N198,"–")</f>
        <v>40</v>
      </c>
      <c r="K198" s="9" t="n">
        <f aca="false">IFERROR(Rohdaten!C198*100/Rohdaten!O198,"–")</f>
        <v>0.145985401459854</v>
      </c>
      <c r="L198" s="8" t="n">
        <f aca="false">IFERROR(Rohdaten!C198*100/Rohdaten!P198,"–")</f>
        <v>240</v>
      </c>
      <c r="M198" s="8" t="n">
        <f aca="false">IFERROR(Rohdaten!C198*100/Rohdaten!Q198,"–")</f>
        <v>46.1538461538462</v>
      </c>
      <c r="N198" s="8" t="n">
        <f aca="false">IFERROR(Rohdaten!C198*100/Rohdaten!R198,"–")</f>
        <v>6.74157303370787</v>
      </c>
      <c r="O198" s="8" t="n">
        <f aca="false">IFERROR(Rohdaten!C198*100/Rohdaten!S198,"–")</f>
        <v>25</v>
      </c>
      <c r="P198" s="9" t="n">
        <f aca="false">IFERROR(Rohdaten!C198*100/Rohdaten!T198,"–")</f>
        <v>0.218978102189781</v>
      </c>
      <c r="Q198" s="9" t="str">
        <f aca="false">IFERROR(Rohdaten!C198*100/Rohdaten!U198,"–")</f>
        <v>–</v>
      </c>
      <c r="R198" s="8" t="n">
        <f aca="false">IFERROR(Rohdaten!C198*100/Rohdaten!V198,"–")</f>
        <v>0.0526777875329236</v>
      </c>
      <c r="S198" s="8" t="n">
        <f aca="false">IFERROR(Rohdaten!C198*100/Rohdaten!W198,"–")</f>
        <v>1.875</v>
      </c>
      <c r="T198" s="8" t="n">
        <f aca="false">IFERROR(Rohdaten!C198*100/Rohdaten!X198,"–")</f>
        <v>0.172910662824208</v>
      </c>
      <c r="U198" s="8" t="n">
        <f aca="false">IFERROR(Rohdaten!C198*100/Rohdaten!Y198,"–")</f>
        <v>15.3846153846154</v>
      </c>
      <c r="V198" s="8" t="n">
        <f aca="false">IFERROR(Rohdaten!C198*100/Rohdaten!Z198,"–")</f>
        <v>0.0198675496688742</v>
      </c>
    </row>
    <row r="199" customFormat="false" ht="15" hidden="false" customHeight="true" outlineLevel="0" collapsed="false">
      <c r="A199" s="4" t="str">
        <f aca="false">Rohdaten!A199</f>
        <v>Kerbel, frisch</v>
      </c>
      <c r="B199" s="8" t="n">
        <f aca="false">Rohdaten!C199</f>
        <v>0.6</v>
      </c>
      <c r="C199" s="8" t="n">
        <f aca="false">IFERROR(Rohdaten!C199*100/Rohdaten!G199,"–")</f>
        <v>0.253164556962025</v>
      </c>
      <c r="D199" s="8" t="n">
        <f aca="false">IFERROR(Rohdaten!C199*100/(Rohdaten!H199*9),"–")</f>
        <v>1.70940170940171</v>
      </c>
      <c r="E199" s="8" t="n">
        <f aca="false">IFERROR(Rohdaten!C199*100/(Rohdaten!I199*4),"–")</f>
        <v>0.646551724137931</v>
      </c>
      <c r="F199" s="8" t="n">
        <f aca="false">IFERROR(Rohdaten!C199*100/(Rohdaten!J199*4),"–")</f>
        <v>0.30060120240481</v>
      </c>
      <c r="G199" s="9" t="n">
        <f aca="false">IFERROR(Rohdaten!C199*100/Rohdaten!K199,"–")</f>
        <v>0.105263157894737</v>
      </c>
      <c r="H199" s="8" t="n">
        <f aca="false">IFERROR(Rohdaten!C199*100/Rohdaten!L199,"–")</f>
        <v>1.2</v>
      </c>
      <c r="I199" s="9" t="str">
        <f aca="false">IFERROR(Rohdaten!C199*100/Rohdaten!M199,"–")</f>
        <v>–</v>
      </c>
      <c r="J199" s="8" t="n">
        <f aca="false">IFERROR(Rohdaten!C199*100/Rohdaten!N199,"–")</f>
        <v>100</v>
      </c>
      <c r="K199" s="9" t="n">
        <f aca="false">IFERROR(Rohdaten!C199*100/Rohdaten!O199,"–")</f>
        <v>0.540540540540541</v>
      </c>
      <c r="L199" s="8" t="n">
        <f aca="false">IFERROR(Rohdaten!C199*100/Rohdaten!P199,"–")</f>
        <v>428.571428571429</v>
      </c>
      <c r="M199" s="8" t="n">
        <f aca="false">IFERROR(Rohdaten!C199*100/Rohdaten!Q199,"–")</f>
        <v>375</v>
      </c>
      <c r="N199" s="8" t="n">
        <f aca="false">IFERROR(Rohdaten!C199*100/Rohdaten!R199,"–")</f>
        <v>6.74157303370787</v>
      </c>
      <c r="O199" s="8" t="n">
        <f aca="false">IFERROR(Rohdaten!C199*100/Rohdaten!S199,"–")</f>
        <v>66.6666666666667</v>
      </c>
      <c r="P199" s="9" t="n">
        <f aca="false">IFERROR(Rohdaten!C199*100/Rohdaten!T199,"–")</f>
        <v>0.218978102189781</v>
      </c>
      <c r="Q199" s="9" t="str">
        <f aca="false">IFERROR(Rohdaten!C199*100/Rohdaten!U199,"–")</f>
        <v>–</v>
      </c>
      <c r="R199" s="8" t="n">
        <f aca="false">IFERROR(Rohdaten!C199*100/Rohdaten!V199,"–")</f>
        <v>0.0444444444444444</v>
      </c>
      <c r="S199" s="8" t="n">
        <f aca="false">IFERROR(Rohdaten!C199*100/Rohdaten!W199,"–")</f>
        <v>1.875</v>
      </c>
      <c r="T199" s="8" t="n">
        <f aca="false">IFERROR(Rohdaten!C199*100/Rohdaten!X199,"–")</f>
        <v>0.172910662824208</v>
      </c>
      <c r="U199" s="8" t="n">
        <f aca="false">IFERROR(Rohdaten!C199*100/Rohdaten!Y199,"–")</f>
        <v>15.3846153846154</v>
      </c>
      <c r="V199" s="8" t="n">
        <f aca="false">IFERROR(Rohdaten!C199*100/Rohdaten!Z199,"–")</f>
        <v>0.0130434782608696</v>
      </c>
    </row>
    <row r="200" customFormat="false" ht="15" hidden="false" customHeight="true" outlineLevel="0" collapsed="false">
      <c r="A200" s="4" t="str">
        <f aca="false">Rohdaten!A200</f>
        <v>Liebstöckel, frisch</v>
      </c>
      <c r="B200" s="8" t="n">
        <f aca="false">Rohdaten!C200</f>
        <v>0.6</v>
      </c>
      <c r="C200" s="8" t="n">
        <f aca="false">IFERROR(Rohdaten!C200*100/Rohdaten!G200,"–")</f>
        <v>0.2</v>
      </c>
      <c r="D200" s="8" t="n">
        <f aca="false">IFERROR(Rohdaten!C200*100/(Rohdaten!H200*9),"–")</f>
        <v>0.666666666666667</v>
      </c>
      <c r="E200" s="8" t="n">
        <f aca="false">IFERROR(Rohdaten!C200*100/(Rohdaten!I200*4),"–")</f>
        <v>0.576923076923077</v>
      </c>
      <c r="F200" s="8" t="n">
        <f aca="false">IFERROR(Rohdaten!C200*100/(Rohdaten!J200*4),"–")</f>
        <v>0.340909090909091</v>
      </c>
      <c r="G200" s="9" t="n">
        <f aca="false">IFERROR(Rohdaten!C200*100/Rohdaten!K200,"–")</f>
        <v>0.15</v>
      </c>
      <c r="H200" s="8" t="n">
        <f aca="false">IFERROR(Rohdaten!C200*100/Rohdaten!L200,"–")</f>
        <v>0.5</v>
      </c>
      <c r="I200" s="9" t="str">
        <f aca="false">IFERROR(Rohdaten!C200*100/Rohdaten!M200,"–")</f>
        <v>–</v>
      </c>
      <c r="J200" s="8" t="n">
        <f aca="false">IFERROR(Rohdaten!C200*100/Rohdaten!N200,"–")</f>
        <v>15</v>
      </c>
      <c r="K200" s="9" t="n">
        <f aca="false">IFERROR(Rohdaten!C200*100/Rohdaten!O200,"–")</f>
        <v>0.2</v>
      </c>
      <c r="L200" s="8" t="n">
        <f aca="false">IFERROR(Rohdaten!C200*100/Rohdaten!P200,"–")</f>
        <v>100</v>
      </c>
      <c r="M200" s="8" t="n">
        <f aca="false">IFERROR(Rohdaten!C200*100/Rohdaten!Q200,"–")</f>
        <v>46.1538461538462</v>
      </c>
      <c r="N200" s="8" t="n">
        <f aca="false">IFERROR(Rohdaten!C200*100/Rohdaten!R200,"–")</f>
        <v>6.66666666666667</v>
      </c>
      <c r="O200" s="8" t="n">
        <f aca="false">IFERROR(Rohdaten!C200*100/Rohdaten!S200,"–")</f>
        <v>20</v>
      </c>
      <c r="P200" s="9" t="n">
        <f aca="false">IFERROR(Rohdaten!C200*100/Rohdaten!T200,"–")</f>
        <v>0.218978102189781</v>
      </c>
      <c r="Q200" s="9" t="str">
        <f aca="false">IFERROR(Rohdaten!C200*100/Rohdaten!U200,"–")</f>
        <v>–</v>
      </c>
      <c r="R200" s="8" t="n">
        <f aca="false">IFERROR(Rohdaten!C200*100/Rohdaten!V200,"–")</f>
        <v>0.0285714285714286</v>
      </c>
      <c r="S200" s="8" t="n">
        <f aca="false">IFERROR(Rohdaten!C200*100/Rohdaten!W200,"–")</f>
        <v>1.07142857142857</v>
      </c>
      <c r="T200" s="8" t="n">
        <f aca="false">IFERROR(Rohdaten!C200*100/Rohdaten!X200,"–")</f>
        <v>0.172910662824208</v>
      </c>
      <c r="U200" s="8" t="n">
        <f aca="false">IFERROR(Rohdaten!C200*100/Rohdaten!Y200,"–")</f>
        <v>15.3846153846154</v>
      </c>
      <c r="V200" s="8" t="n">
        <f aca="false">IFERROR(Rohdaten!C200*100/Rohdaten!Z200,"–")</f>
        <v>0.024</v>
      </c>
    </row>
    <row r="201" customFormat="false" ht="15" hidden="false" customHeight="true" outlineLevel="0" collapsed="false">
      <c r="A201" s="4" t="str">
        <f aca="false">Rohdaten!A201</f>
        <v>Bohnenkraut, frisch</v>
      </c>
      <c r="B201" s="8" t="n">
        <f aca="false">Rohdaten!C201</f>
        <v>0.6</v>
      </c>
      <c r="C201" s="8" t="n">
        <f aca="false">IFERROR(Rohdaten!C201*100/Rohdaten!G201,"–")</f>
        <v>0.220588235294118</v>
      </c>
      <c r="D201" s="8" t="n">
        <f aca="false">IFERROR(Rohdaten!C201*100/(Rohdaten!H201*9),"–")</f>
        <v>0.888888888888889</v>
      </c>
      <c r="E201" s="8" t="n">
        <f aca="false">IFERROR(Rohdaten!C201*100/(Rohdaten!I201*4),"–")</f>
        <v>1.45631067961165</v>
      </c>
      <c r="F201" s="8" t="n">
        <f aca="false">IFERROR(Rohdaten!C201*100/(Rohdaten!J201*4),"–")</f>
        <v>0.218340611353712</v>
      </c>
      <c r="G201" s="9" t="n">
        <f aca="false">IFERROR(Rohdaten!C201*100/Rohdaten!K201,"–")</f>
        <v>0.666666666666667</v>
      </c>
      <c r="H201" s="8" t="n">
        <f aca="false">IFERROR(Rohdaten!C201*100/Rohdaten!L201,"–")</f>
        <v>1.36363636363636</v>
      </c>
      <c r="I201" s="9" t="str">
        <f aca="false">IFERROR(Rohdaten!C201*100/Rohdaten!M201,"–")</f>
        <v>–</v>
      </c>
      <c r="J201" s="8" t="n">
        <f aca="false">IFERROR(Rohdaten!C201*100/Rohdaten!N201,"–")</f>
        <v>20</v>
      </c>
      <c r="K201" s="9" t="n">
        <f aca="false">IFERROR(Rohdaten!C201*100/Rohdaten!O201,"–")</f>
        <v>0.0964630225080386</v>
      </c>
      <c r="L201" s="8" t="n">
        <f aca="false">IFERROR(Rohdaten!C201*100/Rohdaten!P201,"–")</f>
        <v>136.363636363636</v>
      </c>
      <c r="M201" s="8" t="n">
        <f aca="false">IFERROR(Rohdaten!C201*100/Rohdaten!Q201,"–")</f>
        <v>187.5</v>
      </c>
      <c r="N201" s="8" t="n">
        <f aca="false">IFERROR(Rohdaten!C201*100/Rohdaten!R201,"–")</f>
        <v>14.6341463414634</v>
      </c>
      <c r="O201" s="8" t="n">
        <f aca="false">IFERROR(Rohdaten!C201*100/Rohdaten!S201,"–")</f>
        <v>66.6666666666667</v>
      </c>
      <c r="P201" s="9" t="n">
        <f aca="false">IFERROR(Rohdaten!C201*100/Rohdaten!T201,"–")</f>
        <v>0.218978102189781</v>
      </c>
      <c r="Q201" s="9" t="str">
        <f aca="false">IFERROR(Rohdaten!C201*100/Rohdaten!U201,"–")</f>
        <v>–</v>
      </c>
      <c r="R201" s="8" t="n">
        <f aca="false">IFERROR(Rohdaten!C201*100/Rohdaten!V201,"–")</f>
        <v>0.0281425891181989</v>
      </c>
      <c r="S201" s="8" t="n">
        <f aca="false">IFERROR(Rohdaten!C201*100/Rohdaten!W201,"–")</f>
        <v>1.42857142857143</v>
      </c>
      <c r="T201" s="8" t="n">
        <f aca="false">IFERROR(Rohdaten!C201*100/Rohdaten!X201,"–")</f>
        <v>0.159151193633952</v>
      </c>
      <c r="U201" s="8" t="n">
        <f aca="false">IFERROR(Rohdaten!C201*100/Rohdaten!Y201,"–")</f>
        <v>13.953488372093</v>
      </c>
      <c r="V201" s="8" t="n">
        <f aca="false">IFERROR(Rohdaten!C201*100/Rohdaten!Z201,"–")</f>
        <v>0.0570884871550904</v>
      </c>
    </row>
    <row r="202" customFormat="false" ht="15" hidden="false" customHeight="true" outlineLevel="0" collapsed="false">
      <c r="A202" s="4" t="str">
        <f aca="false">Rohdaten!A202</f>
        <v>Lorbeerblatt, getrocknet</v>
      </c>
      <c r="B202" s="8" t="n">
        <f aca="false">Rohdaten!C202</f>
        <v>1.5</v>
      </c>
      <c r="C202" s="8" t="n">
        <f aca="false">IFERROR(Rohdaten!C202*100/Rohdaten!G202,"–")</f>
        <v>0.479233226837061</v>
      </c>
      <c r="D202" s="8" t="n">
        <f aca="false">IFERROR(Rohdaten!C202*100/(Rohdaten!H202*9),"–")</f>
        <v>1.98412698412698</v>
      </c>
      <c r="E202" s="8" t="n">
        <f aca="false">IFERROR(Rohdaten!C202*100/(Rohdaten!I202*4),"–")</f>
        <v>4.93421052631579</v>
      </c>
      <c r="F202" s="8" t="n">
        <f aca="false">IFERROR(Rohdaten!C202*100/(Rohdaten!J202*4),"–")</f>
        <v>0.5</v>
      </c>
      <c r="G202" s="9" t="n">
        <f aca="false">IFERROR(Rohdaten!C202*100/Rohdaten!K202,"–")</f>
        <v>0.0242522231204527</v>
      </c>
      <c r="H202" s="8" t="n">
        <f aca="false">IFERROR(Rohdaten!C202*100/Rohdaten!L202,"–")</f>
        <v>3.19148936170213</v>
      </c>
      <c r="I202" s="9" t="str">
        <f aca="false">IFERROR(Rohdaten!C202*100/Rohdaten!M202,"–")</f>
        <v>–</v>
      </c>
      <c r="J202" s="8" t="n">
        <f aca="false">IFERROR(Rohdaten!C202*100/Rohdaten!N202,"–")</f>
        <v>17.8571428571429</v>
      </c>
      <c r="K202" s="9" t="n">
        <f aca="false">IFERROR(Rohdaten!C202*100/Rohdaten!O202,"–")</f>
        <v>0.0874890638670166</v>
      </c>
      <c r="L202" s="8" t="n">
        <f aca="false">IFERROR(Rohdaten!C202*100/Rohdaten!P202,"–")</f>
        <v>15000</v>
      </c>
      <c r="M202" s="8" t="n">
        <f aca="false">IFERROR(Rohdaten!C202*100/Rohdaten!Q202,"–")</f>
        <v>357.142857142857</v>
      </c>
      <c r="N202" s="8" t="n">
        <f aca="false">IFERROR(Rohdaten!C202*100/Rohdaten!R202,"–")</f>
        <v>75</v>
      </c>
      <c r="O202" s="8" t="n">
        <f aca="false">IFERROR(Rohdaten!C202*100/Rohdaten!S202,"–")</f>
        <v>340.909090909091</v>
      </c>
      <c r="P202" s="9" t="n">
        <f aca="false">IFERROR(Rohdaten!C202*100/Rohdaten!T202,"–")</f>
        <v>0.833333333333333</v>
      </c>
      <c r="Q202" s="9" t="str">
        <f aca="false">IFERROR(Rohdaten!C202*100/Rohdaten!U202,"–")</f>
        <v>–</v>
      </c>
      <c r="R202" s="8" t="n">
        <f aca="false">IFERROR(Rohdaten!C202*100/Rohdaten!V202,"–")</f>
        <v>0.179856115107914</v>
      </c>
      <c r="S202" s="8" t="n">
        <f aca="false">IFERROR(Rohdaten!C202*100/Rohdaten!W202,"–")</f>
        <v>3.48837209302326</v>
      </c>
      <c r="T202" s="8" t="n">
        <f aca="false">IFERROR(Rohdaten!C202*100/Rohdaten!X202,"–")</f>
        <v>1.66666666666667</v>
      </c>
      <c r="U202" s="8" t="n">
        <f aca="false">IFERROR(Rohdaten!C202*100/Rohdaten!Y202,"–")</f>
        <v>40.5405405405405</v>
      </c>
      <c r="V202" s="8" t="n">
        <f aca="false">IFERROR(Rohdaten!C202*100/Rohdaten!Z202,"–")</f>
        <v>0.283553875236295</v>
      </c>
    </row>
    <row r="203" customFormat="false" ht="15" hidden="false" customHeight="true" outlineLevel="0" collapsed="false">
      <c r="A203" s="4" t="str">
        <f aca="false">Rohdaten!A203</f>
        <v>Zitronengras, frisch</v>
      </c>
      <c r="B203" s="8" t="n">
        <f aca="false">Rohdaten!C203</f>
        <v>1</v>
      </c>
      <c r="C203" s="8" t="n">
        <f aca="false">IFERROR(Rohdaten!C203*100/Rohdaten!G203,"–")</f>
        <v>1.01010101010101</v>
      </c>
      <c r="D203" s="8" t="n">
        <f aca="false">IFERROR(Rohdaten!C203*100/(Rohdaten!H203*9),"–")</f>
        <v>22.2222222222222</v>
      </c>
      <c r="E203" s="8" t="n">
        <f aca="false">IFERROR(Rohdaten!C203*100/(Rohdaten!I203*4),"–")</f>
        <v>13.8888888888889</v>
      </c>
      <c r="F203" s="8" t="n">
        <f aca="false">IFERROR(Rohdaten!C203*100/(Rohdaten!J203*4),"–")</f>
        <v>0.988142292490119</v>
      </c>
      <c r="G203" s="9" t="str">
        <f aca="false">IFERROR(Rohdaten!C203*100/Rohdaten!K203,"–")</f>
        <v>–</v>
      </c>
      <c r="H203" s="8" t="n">
        <f aca="false">IFERROR(Rohdaten!C203*100/Rohdaten!L203,"–")</f>
        <v>38.4615384615385</v>
      </c>
      <c r="I203" s="9" t="str">
        <f aca="false">IFERROR(Rohdaten!C203*100/Rohdaten!M203,"–")</f>
        <v>–</v>
      </c>
      <c r="J203" s="8" t="str">
        <f aca="false">IFERROR(Rohdaten!C203*100/Rohdaten!N203,"–")</f>
        <v>–</v>
      </c>
      <c r="K203" s="9" t="str">
        <f aca="false">IFERROR(Rohdaten!C203*100/Rohdaten!O203,"–")</f>
        <v>–</v>
      </c>
      <c r="L203" s="8" t="n">
        <f aca="false">IFERROR(Rohdaten!C203*100/Rohdaten!P203,"–")</f>
        <v>1428.57142857143</v>
      </c>
      <c r="M203" s="8" t="n">
        <f aca="false">IFERROR(Rohdaten!C203*100/Rohdaten!Q203,"–")</f>
        <v>714.285714285714</v>
      </c>
      <c r="N203" s="8" t="n">
        <f aca="false">IFERROR(Rohdaten!C203*100/Rohdaten!R203,"–")</f>
        <v>90.9090909090909</v>
      </c>
      <c r="O203" s="8" t="n">
        <f aca="false">IFERROR(Rohdaten!C203*100/Rohdaten!S203,"–")</f>
        <v>1250</v>
      </c>
      <c r="P203" s="9" t="n">
        <f aca="false">IFERROR(Rohdaten!C203*100/Rohdaten!T203,"–")</f>
        <v>1.33333333333333</v>
      </c>
      <c r="Q203" s="9" t="str">
        <f aca="false">IFERROR(Rohdaten!C203*100/Rohdaten!U203,"–")</f>
        <v>–</v>
      </c>
      <c r="R203" s="8" t="n">
        <f aca="false">IFERROR(Rohdaten!C203*100/Rohdaten!V203,"–")</f>
        <v>1.53846153846154</v>
      </c>
      <c r="S203" s="8" t="n">
        <f aca="false">IFERROR(Rohdaten!C203*100/Rohdaten!W203,"–")</f>
        <v>12.1951219512195</v>
      </c>
      <c r="T203" s="8" t="n">
        <f aca="false">IFERROR(Rohdaten!C203*100/Rohdaten!X203,"–")</f>
        <v>1.66666666666667</v>
      </c>
      <c r="U203" s="8" t="n">
        <f aca="false">IFERROR(Rohdaten!C203*100/Rohdaten!Y203,"–")</f>
        <v>45.4545454545455</v>
      </c>
      <c r="V203" s="8" t="n">
        <f aca="false">IFERROR(Rohdaten!C203*100/Rohdaten!Z203,"–")</f>
        <v>0.138312586445367</v>
      </c>
    </row>
    <row r="204" customFormat="false" ht="15" hidden="false" customHeight="true" outlineLevel="0" collapsed="false">
      <c r="A204" s="4" t="str">
        <f aca="false">Rohdaten!A204</f>
        <v>Ingwer, frisch</v>
      </c>
      <c r="B204" s="8" t="n">
        <f aca="false">Rohdaten!C204</f>
        <v>1</v>
      </c>
      <c r="C204" s="8" t="n">
        <f aca="false">IFERROR(Rohdaten!C204*100/Rohdaten!G204,"–")</f>
        <v>1.25</v>
      </c>
      <c r="D204" s="8" t="n">
        <f aca="false">IFERROR(Rohdaten!C204*100/(Rohdaten!H204*9),"–")</f>
        <v>13.8888888888889</v>
      </c>
      <c r="E204" s="8" t="n">
        <f aca="false">IFERROR(Rohdaten!C204*100/(Rohdaten!I204*4),"–")</f>
        <v>13.8888888888889</v>
      </c>
      <c r="F204" s="8" t="n">
        <f aca="false">IFERROR(Rohdaten!C204*100/(Rohdaten!J204*4),"–")</f>
        <v>1.40449438202247</v>
      </c>
      <c r="G204" s="9" t="str">
        <f aca="false">IFERROR(Rohdaten!C204*100/Rohdaten!K204,"–")</f>
        <v>–</v>
      </c>
      <c r="H204" s="8" t="n">
        <f aca="false">IFERROR(Rohdaten!C204*100/Rohdaten!L204,"–")</f>
        <v>20</v>
      </c>
      <c r="I204" s="9" t="str">
        <f aca="false">IFERROR(Rohdaten!C204*100/Rohdaten!M204,"–")</f>
        <v>–</v>
      </c>
      <c r="J204" s="8" t="str">
        <f aca="false">IFERROR(Rohdaten!C204*100/Rohdaten!N204,"–")</f>
        <v>–</v>
      </c>
      <c r="K204" s="9" t="str">
        <f aca="false">IFERROR(Rohdaten!C204*100/Rohdaten!O204,"–")</f>
        <v>–</v>
      </c>
      <c r="L204" s="8" t="n">
        <f aca="false">IFERROR(Rohdaten!C204*100/Rohdaten!P204,"–")</f>
        <v>3333.33333333333</v>
      </c>
      <c r="M204" s="8" t="n">
        <f aca="false">IFERROR(Rohdaten!C204*100/Rohdaten!Q204,"–")</f>
        <v>3333.33333333333</v>
      </c>
      <c r="N204" s="8" t="n">
        <f aca="false">IFERROR(Rohdaten!C204*100/Rohdaten!R204,"–")</f>
        <v>125</v>
      </c>
      <c r="O204" s="8" t="n">
        <f aca="false">IFERROR(Rohdaten!C204*100/Rohdaten!S204,"–")</f>
        <v>625</v>
      </c>
      <c r="P204" s="9" t="n">
        <f aca="false">IFERROR(Rohdaten!C204*100/Rohdaten!T204,"–")</f>
        <v>9.09090909090909</v>
      </c>
      <c r="Q204" s="9" t="str">
        <f aca="false">IFERROR(Rohdaten!C204*100/Rohdaten!U204,"–")</f>
        <v>–</v>
      </c>
      <c r="R204" s="8" t="n">
        <f aca="false">IFERROR(Rohdaten!C204*100/Rohdaten!V204,"–")</f>
        <v>6.25</v>
      </c>
      <c r="S204" s="8" t="n">
        <f aca="false">IFERROR(Rohdaten!C204*100/Rohdaten!W204,"–")</f>
        <v>166.666666666667</v>
      </c>
      <c r="T204" s="8" t="n">
        <f aca="false">IFERROR(Rohdaten!C204*100/Rohdaten!X204,"–")</f>
        <v>2.32558139534884</v>
      </c>
      <c r="U204" s="8" t="n">
        <f aca="false">IFERROR(Rohdaten!C204*100/Rohdaten!Y204,"–")</f>
        <v>333.333333333333</v>
      </c>
      <c r="V204" s="8" t="n">
        <f aca="false">IFERROR(Rohdaten!C204*100/Rohdaten!Z204,"–")</f>
        <v>0.240963855421687</v>
      </c>
    </row>
    <row r="205" customFormat="false" ht="15" hidden="false" customHeight="true" outlineLevel="0" collapsed="false">
      <c r="A205" s="4" t="str">
        <f aca="false">Rohdaten!A205</f>
        <v>Knoblauch, frisch</v>
      </c>
      <c r="B205" s="8" t="n">
        <f aca="false">Rohdaten!C205</f>
        <v>1</v>
      </c>
      <c r="C205" s="8" t="n">
        <f aca="false">IFERROR(Rohdaten!C205*100/Rohdaten!G205,"–")</f>
        <v>0.671140939597316</v>
      </c>
      <c r="D205" s="8" t="n">
        <f aca="false">IFERROR(Rohdaten!C205*100/(Rohdaten!H205*9),"–")</f>
        <v>22.2222222222222</v>
      </c>
      <c r="E205" s="8" t="n">
        <f aca="false">IFERROR(Rohdaten!C205*100/(Rohdaten!I205*4),"–")</f>
        <v>3.90625</v>
      </c>
      <c r="F205" s="8" t="n">
        <f aca="false">IFERROR(Rohdaten!C205*100/(Rohdaten!J205*4),"–")</f>
        <v>0.755287009063444</v>
      </c>
      <c r="G205" s="9" t="str">
        <f aca="false">IFERROR(Rohdaten!C205*100/Rohdaten!K205,"–")</f>
        <v>–</v>
      </c>
      <c r="H205" s="8" t="n">
        <f aca="false">IFERROR(Rohdaten!C205*100/Rohdaten!L205,"–")</f>
        <v>3.2258064516129</v>
      </c>
      <c r="I205" s="9" t="str">
        <f aca="false">IFERROR(Rohdaten!C205*100/Rohdaten!M205,"–")</f>
        <v>–</v>
      </c>
      <c r="J205" s="8" t="str">
        <f aca="false">IFERROR(Rohdaten!C205*100/Rohdaten!N205,"–")</f>
        <v>–</v>
      </c>
      <c r="K205" s="9" t="n">
        <f aca="false">IFERROR(Rohdaten!C205*100/Rohdaten!O205,"–")</f>
        <v>58.8235294117647</v>
      </c>
      <c r="L205" s="8" t="n">
        <f aca="false">IFERROR(Rohdaten!C205*100/Rohdaten!P205,"–")</f>
        <v>500</v>
      </c>
      <c r="M205" s="8" t="n">
        <f aca="false">IFERROR(Rohdaten!C205*100/Rohdaten!Q205,"–")</f>
        <v>909.090909090909</v>
      </c>
      <c r="N205" s="8" t="n">
        <f aca="false">IFERROR(Rohdaten!C205*100/Rohdaten!R205,"–")</f>
        <v>142.857142857143</v>
      </c>
      <c r="O205" s="8" t="n">
        <f aca="false">IFERROR(Rohdaten!C205*100/Rohdaten!S205,"–")</f>
        <v>83.3333333333333</v>
      </c>
      <c r="P205" s="9" t="n">
        <f aca="false">IFERROR(Rohdaten!C205*100/Rohdaten!T205,"–")</f>
        <v>33.3333333333333</v>
      </c>
      <c r="Q205" s="9" t="str">
        <f aca="false">IFERROR(Rohdaten!C205*100/Rohdaten!U205,"–")</f>
        <v>–</v>
      </c>
      <c r="R205" s="8" t="n">
        <f aca="false">IFERROR(Rohdaten!C205*100/Rohdaten!V205,"–")</f>
        <v>0.552486187845304</v>
      </c>
      <c r="S205" s="8" t="n">
        <f aca="false">IFERROR(Rohdaten!C205*100/Rohdaten!W205,"–")</f>
        <v>58.8235294117647</v>
      </c>
      <c r="T205" s="8" t="n">
        <f aca="false">IFERROR(Rohdaten!C205*100/Rohdaten!X205,"–")</f>
        <v>4</v>
      </c>
      <c r="U205" s="8" t="n">
        <f aca="false">IFERROR(Rohdaten!C205*100/Rohdaten!Y205,"–")</f>
        <v>83.3333333333333</v>
      </c>
      <c r="V205" s="8" t="n">
        <f aca="false">IFERROR(Rohdaten!C205*100/Rohdaten!Z205,"–")</f>
        <v>0.249376558603491</v>
      </c>
    </row>
    <row r="206" customFormat="false" ht="15" hidden="false" customHeight="true" outlineLevel="0" collapsed="false">
      <c r="A206" s="4" t="str">
        <f aca="false">Rohdaten!A206</f>
        <v>Bärlauch, frisch</v>
      </c>
      <c r="B206" s="8" t="n">
        <f aca="false">Rohdaten!C206</f>
        <v>0.5</v>
      </c>
      <c r="C206" s="8" t="n">
        <f aca="false">IFERROR(Rohdaten!C206*100/Rohdaten!G206,"–")</f>
        <v>1.13636363636364</v>
      </c>
      <c r="D206" s="8" t="n">
        <f aca="false">IFERROR(Rohdaten!C206*100/(Rohdaten!H206*9),"–")</f>
        <v>27.7777777777778</v>
      </c>
      <c r="E206" s="8" t="n">
        <f aca="false">IFERROR(Rohdaten!C206*100/(Rohdaten!I206*4),"–")</f>
        <v>3.67647058823529</v>
      </c>
      <c r="F206" s="8" t="n">
        <f aca="false">IFERROR(Rohdaten!C206*100/(Rohdaten!J206*4),"–")</f>
        <v>1.68918918918919</v>
      </c>
      <c r="G206" s="9" t="n">
        <f aca="false">IFERROR(Rohdaten!C206*100/Rohdaten!K206,"–")</f>
        <v>0.384615384615385</v>
      </c>
      <c r="H206" s="8" t="n">
        <f aca="false">IFERROR(Rohdaten!C206*100/Rohdaten!L206,"–")</f>
        <v>0.333333333333333</v>
      </c>
      <c r="I206" s="9" t="str">
        <f aca="false">IFERROR(Rohdaten!C206*100/Rohdaten!M206,"–")</f>
        <v>–</v>
      </c>
      <c r="J206" s="8" t="n">
        <f aca="false">IFERROR(Rohdaten!C206*100/Rohdaten!N206,"–")</f>
        <v>100</v>
      </c>
      <c r="K206" s="9" t="n">
        <f aca="false">IFERROR(Rohdaten!C206*100/Rohdaten!O206,"–")</f>
        <v>0.277777777777778</v>
      </c>
      <c r="L206" s="8" t="n">
        <f aca="false">IFERROR(Rohdaten!C206*100/Rohdaten!P206,"–")</f>
        <v>500</v>
      </c>
      <c r="M206" s="8" t="n">
        <f aca="false">IFERROR(Rohdaten!C206*100/Rohdaten!Q206,"–")</f>
        <v>250</v>
      </c>
      <c r="N206" s="8" t="n">
        <f aca="false">IFERROR(Rohdaten!C206*100/Rohdaten!R206,"–")</f>
        <v>33.3333333333333</v>
      </c>
      <c r="O206" s="8" t="n">
        <f aca="false">IFERROR(Rohdaten!C206*100/Rohdaten!S206,"–")</f>
        <v>312.5</v>
      </c>
      <c r="P206" s="9" t="n">
        <f aca="false">IFERROR(Rohdaten!C206*100/Rohdaten!T206,"–")</f>
        <v>1</v>
      </c>
      <c r="Q206" s="9" t="str">
        <f aca="false">IFERROR(Rohdaten!C206*100/Rohdaten!U206,"–")</f>
        <v>–</v>
      </c>
      <c r="R206" s="8" t="n">
        <f aca="false">IFERROR(Rohdaten!C206*100/Rohdaten!V206,"–")</f>
        <v>0.555555555555556</v>
      </c>
      <c r="S206" s="8" t="n">
        <f aca="false">IFERROR(Rohdaten!C206*100/Rohdaten!W206,"–")</f>
        <v>41.6666666666667</v>
      </c>
      <c r="T206" s="8" t="n">
        <f aca="false">IFERROR(Rohdaten!C206*100/Rohdaten!X206,"–")</f>
        <v>1.66666666666667</v>
      </c>
      <c r="U206" s="8" t="n">
        <f aca="false">IFERROR(Rohdaten!C206*100/Rohdaten!Y206,"–")</f>
        <v>125</v>
      </c>
      <c r="V206" s="8" t="n">
        <f aca="false">IFERROR(Rohdaten!C206*100/Rohdaten!Z206,"–")</f>
        <v>0.15625</v>
      </c>
    </row>
    <row r="207" customFormat="false" ht="15" hidden="false" customHeight="true" outlineLevel="0" collapsed="false">
      <c r="A207" s="4" t="str">
        <f aca="false">Rohdaten!A207</f>
        <v>Paprikapulver, edelsüß</v>
      </c>
      <c r="B207" s="8" t="n">
        <f aca="false">Rohdaten!C207</f>
        <v>4</v>
      </c>
      <c r="C207" s="8" t="n">
        <f aca="false">IFERROR(Rohdaten!C207*100/Rohdaten!G207,"–")</f>
        <v>1.41843971631206</v>
      </c>
      <c r="D207" s="8" t="n">
        <f aca="false">IFERROR(Rohdaten!C207*100/(Rohdaten!H207*9),"–")</f>
        <v>3.41880341880342</v>
      </c>
      <c r="E207" s="8" t="n">
        <f aca="false">IFERROR(Rohdaten!C207*100/(Rohdaten!I207*4),"–")</f>
        <v>7.14285714285714</v>
      </c>
      <c r="F207" s="8" t="n">
        <f aca="false">IFERROR(Rohdaten!C207*100/(Rohdaten!J207*4),"–")</f>
        <v>1.85185185185185</v>
      </c>
      <c r="G207" s="9" t="n">
        <f aca="false">IFERROR(Rohdaten!C207*100/Rohdaten!K207,"–")</f>
        <v>0.0747663551401869</v>
      </c>
      <c r="H207" s="8" t="n">
        <f aca="false">IFERROR(Rohdaten!C207*100/Rohdaten!L207,"–")</f>
        <v>444.444444444444</v>
      </c>
      <c r="I207" s="9" t="str">
        <f aca="false">IFERROR(Rohdaten!C207*100/Rohdaten!M207,"–")</f>
        <v>–</v>
      </c>
      <c r="J207" s="8" t="n">
        <f aca="false">IFERROR(Rohdaten!C207*100/Rohdaten!N207,"–")</f>
        <v>13.745704467354</v>
      </c>
      <c r="K207" s="9" t="str">
        <f aca="false">IFERROR(Rohdaten!C207*100/Rohdaten!O207,"–")</f>
        <v>–</v>
      </c>
      <c r="L207" s="8" t="n">
        <f aca="false">IFERROR(Rohdaten!C207*100/Rohdaten!P207,"–")</f>
        <v>615.384615384615</v>
      </c>
      <c r="M207" s="8" t="n">
        <f aca="false">IFERROR(Rohdaten!C207*100/Rohdaten!Q207,"–")</f>
        <v>322.58064516129</v>
      </c>
      <c r="N207" s="8" t="n">
        <f aca="false">IFERROR(Rohdaten!C207*100/Rohdaten!R207,"–")</f>
        <v>37.7358490566038</v>
      </c>
      <c r="O207" s="8" t="n">
        <f aca="false">IFERROR(Rohdaten!C207*100/Rohdaten!S207,"–")</f>
        <v>190.47619047619</v>
      </c>
      <c r="P207" s="9" t="n">
        <f aca="false">IFERROR(Rohdaten!C207*100/Rohdaten!T207,"–")</f>
        <v>3.77358490566038</v>
      </c>
      <c r="Q207" s="9" t="str">
        <f aca="false">IFERROR(Rohdaten!C207*100/Rohdaten!U207,"–")</f>
        <v>–</v>
      </c>
      <c r="R207" s="8" t="n">
        <f aca="false">IFERROR(Rohdaten!C207*100/Rohdaten!V207,"–")</f>
        <v>1.74672489082969</v>
      </c>
      <c r="S207" s="8" t="n">
        <f aca="false">IFERROR(Rohdaten!C207*100/Rohdaten!W207,"–")</f>
        <v>19.047619047619</v>
      </c>
      <c r="T207" s="8" t="n">
        <f aca="false">IFERROR(Rohdaten!C207*100/Rohdaten!X207,"–")</f>
        <v>2.24719101123596</v>
      </c>
      <c r="U207" s="8" t="n">
        <f aca="false">IFERROR(Rohdaten!C207*100/Rohdaten!Y207,"–")</f>
        <v>93.0232558139535</v>
      </c>
      <c r="V207" s="8" t="n">
        <f aca="false">IFERROR(Rohdaten!C207*100/Rohdaten!Z207,"–")</f>
        <v>0.175438596491228</v>
      </c>
    </row>
    <row r="208" customFormat="false" ht="15" hidden="false" customHeight="true" outlineLevel="0" collapsed="false">
      <c r="A208" s="4" t="str">
        <f aca="false">Rohdaten!A208</f>
        <v>Paprikapulver, scharf</v>
      </c>
      <c r="B208" s="8" t="n">
        <f aca="false">Rohdaten!C208</f>
        <v>4</v>
      </c>
      <c r="C208" s="8" t="n">
        <f aca="false">IFERROR(Rohdaten!C208*100/Rohdaten!G208,"–")</f>
        <v>1.41843971631206</v>
      </c>
      <c r="D208" s="8" t="n">
        <f aca="false">IFERROR(Rohdaten!C208*100/(Rohdaten!H208*9),"–")</f>
        <v>3.41880341880342</v>
      </c>
      <c r="E208" s="8" t="n">
        <f aca="false">IFERROR(Rohdaten!C208*100/(Rohdaten!I208*4),"–")</f>
        <v>7.14285714285714</v>
      </c>
      <c r="F208" s="8" t="n">
        <f aca="false">IFERROR(Rohdaten!C208*100/(Rohdaten!J208*4),"–")</f>
        <v>1.85185185185185</v>
      </c>
      <c r="G208" s="9" t="n">
        <f aca="false">IFERROR(Rohdaten!C208*100/Rohdaten!K208,"–")</f>
        <v>0.08</v>
      </c>
      <c r="H208" s="8" t="n">
        <f aca="false">IFERROR(Rohdaten!C208*100/Rohdaten!L208,"–")</f>
        <v>444.444444444444</v>
      </c>
      <c r="I208" s="9" t="str">
        <f aca="false">IFERROR(Rohdaten!C208*100/Rohdaten!M208,"–")</f>
        <v>–</v>
      </c>
      <c r="J208" s="8" t="n">
        <f aca="false">IFERROR(Rohdaten!C208*100/Rohdaten!N208,"–")</f>
        <v>13.745704467354</v>
      </c>
      <c r="K208" s="9" t="str">
        <f aca="false">IFERROR(Rohdaten!C208*100/Rohdaten!O208,"–")</f>
        <v>–</v>
      </c>
      <c r="L208" s="8" t="n">
        <f aca="false">IFERROR(Rohdaten!C208*100/Rohdaten!P208,"–")</f>
        <v>615.384615384615</v>
      </c>
      <c r="M208" s="8" t="n">
        <f aca="false">IFERROR(Rohdaten!C208*100/Rohdaten!Q208,"–")</f>
        <v>322.58064516129</v>
      </c>
      <c r="N208" s="8" t="n">
        <f aca="false">IFERROR(Rohdaten!C208*100/Rohdaten!R208,"–")</f>
        <v>37.7358490566038</v>
      </c>
      <c r="O208" s="8" t="n">
        <f aca="false">IFERROR(Rohdaten!C208*100/Rohdaten!S208,"–")</f>
        <v>190.47619047619</v>
      </c>
      <c r="P208" s="9" t="n">
        <f aca="false">IFERROR(Rohdaten!C208*100/Rohdaten!T208,"–")</f>
        <v>3.77358490566038</v>
      </c>
      <c r="Q208" s="9" t="str">
        <f aca="false">IFERROR(Rohdaten!C208*100/Rohdaten!U208,"–")</f>
        <v>–</v>
      </c>
      <c r="R208" s="8" t="n">
        <f aca="false">IFERROR(Rohdaten!C208*100/Rohdaten!V208,"–")</f>
        <v>1.74672489082969</v>
      </c>
      <c r="S208" s="8" t="n">
        <f aca="false">IFERROR(Rohdaten!C208*100/Rohdaten!W208,"–")</f>
        <v>19.047619047619</v>
      </c>
      <c r="T208" s="8" t="n">
        <f aca="false">IFERROR(Rohdaten!C208*100/Rohdaten!X208,"–")</f>
        <v>2.24719101123596</v>
      </c>
      <c r="U208" s="8" t="n">
        <f aca="false">IFERROR(Rohdaten!C208*100/Rohdaten!Y208,"–")</f>
        <v>93.0232558139535</v>
      </c>
      <c r="V208" s="8" t="n">
        <f aca="false">IFERROR(Rohdaten!C208*100/Rohdaten!Z208,"–")</f>
        <v>0.175438596491228</v>
      </c>
    </row>
    <row r="209" customFormat="false" ht="15" hidden="false" customHeight="true" outlineLevel="0" collapsed="false">
      <c r="A209" s="4" t="str">
        <f aca="false">Rohdaten!A209</f>
        <v>Currypulver</v>
      </c>
      <c r="B209" s="8" t="n">
        <f aca="false">Rohdaten!C209</f>
        <v>4</v>
      </c>
      <c r="C209" s="8" t="n">
        <f aca="false">IFERROR(Rohdaten!C209*100/Rohdaten!G209,"–")</f>
        <v>1.23076923076923</v>
      </c>
      <c r="D209" s="8" t="n">
        <f aca="false">IFERROR(Rohdaten!C209*100/(Rohdaten!H209*9),"–")</f>
        <v>3.17460317460317</v>
      </c>
      <c r="E209" s="8" t="n">
        <f aca="false">IFERROR(Rohdaten!C209*100/(Rohdaten!I209*4),"–")</f>
        <v>7.69230769230769</v>
      </c>
      <c r="F209" s="8" t="n">
        <f aca="false">IFERROR(Rohdaten!C209*100/(Rohdaten!J209*4),"–")</f>
        <v>1.72413793103448</v>
      </c>
      <c r="G209" s="9" t="n">
        <f aca="false">IFERROR(Rohdaten!C209*100/Rohdaten!K209,"–")</f>
        <v>2.63157894736842</v>
      </c>
      <c r="H209" s="8" t="n">
        <f aca="false">IFERROR(Rohdaten!C209*100/Rohdaten!L209,"–")</f>
        <v>36.3636363636364</v>
      </c>
      <c r="I209" s="9" t="str">
        <f aca="false">IFERROR(Rohdaten!C209*100/Rohdaten!M209,"–")</f>
        <v>–</v>
      </c>
      <c r="J209" s="8" t="n">
        <f aca="false">IFERROR(Rohdaten!C209*100/Rohdaten!N209,"–")</f>
        <v>26.6666666666667</v>
      </c>
      <c r="K209" s="9" t="str">
        <f aca="false">IFERROR(Rohdaten!C209*100/Rohdaten!O209,"–")</f>
        <v>–</v>
      </c>
      <c r="L209" s="8" t="n">
        <f aca="false">IFERROR(Rohdaten!C209*100/Rohdaten!P209,"–")</f>
        <v>1333.33333333333</v>
      </c>
      <c r="M209" s="8" t="n">
        <f aca="false">IFERROR(Rohdaten!C209*100/Rohdaten!Q209,"–")</f>
        <v>1333.33333333333</v>
      </c>
      <c r="N209" s="8" t="n">
        <f aca="false">IFERROR(Rohdaten!C209*100/Rohdaten!R209,"–")</f>
        <v>111.111111111111</v>
      </c>
      <c r="O209" s="8" t="n">
        <f aca="false">IFERROR(Rohdaten!C209*100/Rohdaten!S209,"–")</f>
        <v>444.444444444444</v>
      </c>
      <c r="P209" s="9" t="n">
        <f aca="false">IFERROR(Rohdaten!C209*100/Rohdaten!T209,"–")</f>
        <v>25</v>
      </c>
      <c r="Q209" s="9" t="str">
        <f aca="false">IFERROR(Rohdaten!C209*100/Rohdaten!U209,"–")</f>
        <v>–</v>
      </c>
      <c r="R209" s="8" t="n">
        <f aca="false">IFERROR(Rohdaten!C209*100/Rohdaten!V209,"–")</f>
        <v>0.836820083682008</v>
      </c>
      <c r="S209" s="8" t="n">
        <f aca="false">IFERROR(Rohdaten!C209*100/Rohdaten!W209,"–")</f>
        <v>13.7931034482759</v>
      </c>
      <c r="T209" s="8" t="n">
        <f aca="false">IFERROR(Rohdaten!C209*100/Rohdaten!X209,"–")</f>
        <v>1.56862745098039</v>
      </c>
      <c r="U209" s="8" t="n">
        <f aca="false">IFERROR(Rohdaten!C209*100/Rohdaten!Y209,"–")</f>
        <v>114.285714285714</v>
      </c>
      <c r="V209" s="8" t="n">
        <f aca="false">IFERROR(Rohdaten!C209*100/Rohdaten!Z209,"–")</f>
        <v>0.28169014084507</v>
      </c>
    </row>
    <row r="210" customFormat="false" ht="15" hidden="false" customHeight="true" outlineLevel="0" collapsed="false">
      <c r="A210" s="4" t="str">
        <f aca="false">Rohdaten!A210</f>
        <v>Kreuzkümmel, gemahlen</v>
      </c>
      <c r="B210" s="8" t="n">
        <f aca="false">Rohdaten!C210</f>
        <v>3.5</v>
      </c>
      <c r="C210" s="8" t="n">
        <f aca="false">IFERROR(Rohdaten!C210*100/Rohdaten!G210,"–")</f>
        <v>0.933333333333333</v>
      </c>
      <c r="D210" s="8" t="n">
        <f aca="false">IFERROR(Rohdaten!C210*100/(Rohdaten!H210*9),"–")</f>
        <v>1.76767676767677</v>
      </c>
      <c r="E210" s="8" t="n">
        <f aca="false">IFERROR(Rohdaten!C210*100/(Rohdaten!I210*4),"–")</f>
        <v>4.86111111111111</v>
      </c>
      <c r="F210" s="8" t="n">
        <f aca="false">IFERROR(Rohdaten!C210*100/(Rohdaten!J210*4),"–")</f>
        <v>1.98863636363636</v>
      </c>
      <c r="G210" s="9" t="n">
        <f aca="false">IFERROR(Rohdaten!C210*100/Rohdaten!K210,"–")</f>
        <v>5.46875</v>
      </c>
      <c r="H210" s="8" t="n">
        <f aca="false">IFERROR(Rohdaten!C210*100/Rohdaten!L210,"–")</f>
        <v>45.4545454545455</v>
      </c>
      <c r="I210" s="9" t="str">
        <f aca="false">IFERROR(Rohdaten!C210*100/Rohdaten!M210,"–")</f>
        <v>–</v>
      </c>
      <c r="J210" s="8" t="n">
        <f aca="false">IFERROR(Rohdaten!C210*100/Rohdaten!N210,"–")</f>
        <v>106.060606060606</v>
      </c>
      <c r="K210" s="9" t="n">
        <f aca="false">IFERROR(Rohdaten!C210*100/Rohdaten!O210,"–")</f>
        <v>70</v>
      </c>
      <c r="L210" s="8" t="n">
        <f aca="false">IFERROR(Rohdaten!C210*100/Rohdaten!P210,"–")</f>
        <v>555.555555555556</v>
      </c>
      <c r="M210" s="8" t="n">
        <f aca="false">IFERROR(Rohdaten!C210*100/Rohdaten!Q210,"–")</f>
        <v>1093.75</v>
      </c>
      <c r="N210" s="8" t="n">
        <f aca="false">IFERROR(Rohdaten!C210*100/Rohdaten!R210,"–")</f>
        <v>76.0869565217391</v>
      </c>
      <c r="O210" s="8" t="n">
        <f aca="false">IFERROR(Rohdaten!C210*100/Rohdaten!S210,"–")</f>
        <v>875</v>
      </c>
      <c r="P210" s="9" t="n">
        <f aca="false">IFERROR(Rohdaten!C210*100/Rohdaten!T210,"–")</f>
        <v>35</v>
      </c>
      <c r="Q210" s="9" t="str">
        <f aca="false">IFERROR(Rohdaten!C210*100/Rohdaten!U210,"–")</f>
        <v>–</v>
      </c>
      <c r="R210" s="8" t="n">
        <f aca="false">IFERROR(Rohdaten!C210*100/Rohdaten!V210,"–")</f>
        <v>0.37593984962406</v>
      </c>
      <c r="S210" s="8" t="n">
        <f aca="false">IFERROR(Rohdaten!C210*100/Rohdaten!W210,"–")</f>
        <v>5.3030303030303</v>
      </c>
      <c r="T210" s="8" t="n">
        <f aca="false">IFERROR(Rohdaten!C210*100/Rohdaten!X210,"–")</f>
        <v>0.956284153005464</v>
      </c>
      <c r="U210" s="8" t="n">
        <f aca="false">IFERROR(Rohdaten!C210*100/Rohdaten!Y210,"–")</f>
        <v>72.9166666666667</v>
      </c>
      <c r="V210" s="8" t="n">
        <f aca="false">IFERROR(Rohdaten!C210*100/Rohdaten!Z210,"–")</f>
        <v>0.195530726256983</v>
      </c>
    </row>
    <row r="211" customFormat="false" ht="15" hidden="false" customHeight="true" outlineLevel="0" collapsed="false">
      <c r="A211" s="4" t="str">
        <f aca="false">Rohdaten!A211</f>
        <v>Zimt, gemahlen</v>
      </c>
      <c r="B211" s="8" t="n">
        <f aca="false">Rohdaten!C211</f>
        <v>3.5</v>
      </c>
      <c r="C211" s="8" t="n">
        <f aca="false">IFERROR(Rohdaten!C211*100/Rohdaten!G211,"–")</f>
        <v>1.417004048583</v>
      </c>
      <c r="D211" s="8" t="n">
        <f aca="false">IFERROR(Rohdaten!C211*100/(Rohdaten!H211*9),"–")</f>
        <v>32.4074074074074</v>
      </c>
      <c r="E211" s="8" t="n">
        <f aca="false">IFERROR(Rohdaten!C211*100/(Rohdaten!I211*4),"–")</f>
        <v>21.875</v>
      </c>
      <c r="F211" s="8" t="n">
        <f aca="false">IFERROR(Rohdaten!C211*100/(Rohdaten!J211*4),"–")</f>
        <v>1.08024691358025</v>
      </c>
      <c r="G211" s="9" t="n">
        <f aca="false">IFERROR(Rohdaten!C211*100/Rohdaten!K211,"–")</f>
        <v>23.3333333333333</v>
      </c>
      <c r="H211" s="8" t="n">
        <f aca="false">IFERROR(Rohdaten!C211*100/Rohdaten!L211,"–")</f>
        <v>92.1052631578947</v>
      </c>
      <c r="I211" s="9" t="str">
        <f aca="false">IFERROR(Rohdaten!C211*100/Rohdaten!M211,"–")</f>
        <v>–</v>
      </c>
      <c r="J211" s="8" t="n">
        <f aca="false">IFERROR(Rohdaten!C211*100/Rohdaten!N211,"–")</f>
        <v>152.173913043478</v>
      </c>
      <c r="K211" s="9" t="n">
        <f aca="false">IFERROR(Rohdaten!C211*100/Rohdaten!O211,"–")</f>
        <v>11.2903225806452</v>
      </c>
      <c r="L211" s="8" t="n">
        <f aca="false">IFERROR(Rohdaten!C211*100/Rohdaten!P211,"–")</f>
        <v>17500</v>
      </c>
      <c r="M211" s="8" t="n">
        <f aca="false">IFERROR(Rohdaten!C211*100/Rohdaten!Q211,"–")</f>
        <v>8750</v>
      </c>
      <c r="N211" s="8" t="n">
        <f aca="false">IFERROR(Rohdaten!C211*100/Rohdaten!R211,"–")</f>
        <v>269.230769230769</v>
      </c>
      <c r="O211" s="8" t="n">
        <f aca="false">IFERROR(Rohdaten!C211*100/Rohdaten!S211,"–")</f>
        <v>2187.5</v>
      </c>
      <c r="P211" s="9" t="n">
        <f aca="false">IFERROR(Rohdaten!C211*100/Rohdaten!T211,"–")</f>
        <v>58.3333333333333</v>
      </c>
      <c r="Q211" s="9" t="str">
        <f aca="false">IFERROR(Rohdaten!C211*100/Rohdaten!U211,"–")</f>
        <v>–</v>
      </c>
      <c r="R211" s="8" t="n">
        <f aca="false">IFERROR(Rohdaten!C211*100/Rohdaten!V211,"–")</f>
        <v>0.349301397205589</v>
      </c>
      <c r="S211" s="8" t="n">
        <f aca="false">IFERROR(Rohdaten!C211*100/Rohdaten!W211,"–")</f>
        <v>42.1686746987952</v>
      </c>
      <c r="T211" s="8" t="n">
        <f aca="false">IFERROR(Rohdaten!C211*100/Rohdaten!X211,"–")</f>
        <v>5.83333333333333</v>
      </c>
      <c r="U211" s="8" t="n">
        <f aca="false">IFERROR(Rohdaten!C211*100/Rohdaten!Y211,"–")</f>
        <v>194.444444444444</v>
      </c>
      <c r="V211" s="8" t="n">
        <f aca="false">IFERROR(Rohdaten!C211*100/Rohdaten!Z211,"–")</f>
        <v>0.812064965197216</v>
      </c>
    </row>
    <row r="212" customFormat="false" ht="15" hidden="false" customHeight="true" outlineLevel="0" collapsed="false">
      <c r="A212" s="4" t="str">
        <f aca="false">Rohdaten!A212</f>
        <v>Muskatnuss, gemahlen</v>
      </c>
      <c r="B212" s="8" t="n">
        <f aca="false">Rohdaten!C212</f>
        <v>5</v>
      </c>
      <c r="C212" s="8" t="n">
        <f aca="false">IFERROR(Rohdaten!C212*100/Rohdaten!G212,"–")</f>
        <v>0.952380952380952</v>
      </c>
      <c r="D212" s="8" t="n">
        <f aca="false">IFERROR(Rohdaten!C212*100/(Rohdaten!H212*9),"–")</f>
        <v>1.54320987654321</v>
      </c>
      <c r="E212" s="8" t="n">
        <f aca="false">IFERROR(Rohdaten!C212*100/(Rohdaten!I212*4),"–")</f>
        <v>20.8333333333333</v>
      </c>
      <c r="F212" s="8" t="n">
        <f aca="false">IFERROR(Rohdaten!C212*100/(Rohdaten!J212*4),"–")</f>
        <v>2.55102040816327</v>
      </c>
      <c r="G212" s="9" t="n">
        <f aca="false">IFERROR(Rohdaten!C212*100/Rohdaten!K212,"–")</f>
        <v>100</v>
      </c>
      <c r="H212" s="8" t="n">
        <f aca="false">IFERROR(Rohdaten!C212*100/Rohdaten!L212,"–")</f>
        <v>166.666666666667</v>
      </c>
      <c r="I212" s="9" t="str">
        <f aca="false">IFERROR(Rohdaten!C212*100/Rohdaten!M212,"–")</f>
        <v>–</v>
      </c>
      <c r="J212" s="8" t="str">
        <f aca="false">IFERROR(Rohdaten!C212*100/Rohdaten!N212,"–")</f>
        <v>–</v>
      </c>
      <c r="K212" s="9" t="str">
        <f aca="false">IFERROR(Rohdaten!C212*100/Rohdaten!O212,"–")</f>
        <v>–</v>
      </c>
      <c r="L212" s="8" t="n">
        <f aca="false">IFERROR(Rohdaten!C212*100/Rohdaten!P212,"–")</f>
        <v>1428.57142857143</v>
      </c>
      <c r="M212" s="8" t="n">
        <f aca="false">IFERROR(Rohdaten!C212*100/Rohdaten!Q212,"–")</f>
        <v>8333.33333333333</v>
      </c>
      <c r="N212" s="8" t="n">
        <f aca="false">IFERROR(Rohdaten!C212*100/Rohdaten!R212,"–")</f>
        <v>384.615384615385</v>
      </c>
      <c r="O212" s="8" t="n">
        <f aca="false">IFERROR(Rohdaten!C212*100/Rohdaten!S212,"–")</f>
        <v>3125</v>
      </c>
      <c r="P212" s="9" t="n">
        <f aca="false">IFERROR(Rohdaten!C212*100/Rohdaten!T212,"–")</f>
        <v>6.57894736842105</v>
      </c>
      <c r="Q212" s="9" t="str">
        <f aca="false">IFERROR(Rohdaten!C212*100/Rohdaten!U212,"–")</f>
        <v>–</v>
      </c>
      <c r="R212" s="8" t="n">
        <f aca="false">IFERROR(Rohdaten!C212*100/Rohdaten!V212,"–")</f>
        <v>2.71739130434783</v>
      </c>
      <c r="S212" s="8" t="n">
        <f aca="false">IFERROR(Rohdaten!C212*100/Rohdaten!W212,"–")</f>
        <v>166.666666666667</v>
      </c>
      <c r="T212" s="8" t="n">
        <f aca="false">IFERROR(Rohdaten!C212*100/Rohdaten!X212,"–")</f>
        <v>2.73224043715847</v>
      </c>
      <c r="U212" s="8" t="n">
        <f aca="false">IFERROR(Rohdaten!C212*100/Rohdaten!Y212,"–")</f>
        <v>217.391304347826</v>
      </c>
      <c r="V212" s="8" t="n">
        <f aca="false">IFERROR(Rohdaten!C212*100/Rohdaten!Z212,"–")</f>
        <v>1.42857142857143</v>
      </c>
    </row>
    <row r="213" customFormat="false" ht="15" hidden="false" customHeight="true" outlineLevel="0" collapsed="false">
      <c r="A213" s="4" t="str">
        <f aca="false">Rohdaten!A213</f>
        <v>Nelken, gemahlen</v>
      </c>
      <c r="B213" s="8" t="n">
        <f aca="false">Rohdaten!C213</f>
        <v>5</v>
      </c>
      <c r="C213" s="8" t="n">
        <f aca="false">IFERROR(Rohdaten!C213*100/Rohdaten!G213,"–")</f>
        <v>1.82481751824818</v>
      </c>
      <c r="D213" s="8" t="n">
        <f aca="false">IFERROR(Rohdaten!C213*100/(Rohdaten!H213*9),"–")</f>
        <v>4.27350427350427</v>
      </c>
      <c r="E213" s="8" t="n">
        <f aca="false">IFERROR(Rohdaten!C213*100/(Rohdaten!I213*4),"–")</f>
        <v>20.8333333333333</v>
      </c>
      <c r="F213" s="8" t="n">
        <f aca="false">IFERROR(Rohdaten!C213*100/(Rohdaten!J213*4),"–")</f>
        <v>1.89393939393939</v>
      </c>
      <c r="G213" s="9" t="n">
        <f aca="false">IFERROR(Rohdaten!C213*100/Rohdaten!K213,"–")</f>
        <v>3.125</v>
      </c>
      <c r="H213" s="8" t="n">
        <f aca="false">IFERROR(Rohdaten!C213*100/Rohdaten!L213,"–")</f>
        <v>2500</v>
      </c>
      <c r="I213" s="9" t="str">
        <f aca="false">IFERROR(Rohdaten!C213*100/Rohdaten!M213,"–")</f>
        <v>–</v>
      </c>
      <c r="J213" s="8" t="n">
        <f aca="false">IFERROR(Rohdaten!C213*100/Rohdaten!N213,"–")</f>
        <v>56.8181818181818</v>
      </c>
      <c r="K213" s="9" t="n">
        <f aca="false">IFERROR(Rohdaten!C213*100/Rohdaten!O213,"–")</f>
        <v>3.52112676056338</v>
      </c>
      <c r="L213" s="8" t="n">
        <f aca="false">IFERROR(Rohdaten!C213*100/Rohdaten!P213,"–")</f>
        <v>4166.66666666667</v>
      </c>
      <c r="M213" s="8" t="n">
        <f aca="false">IFERROR(Rohdaten!C213*100/Rohdaten!Q213,"–")</f>
        <v>1851.85185185185</v>
      </c>
      <c r="N213" s="8" t="n">
        <f aca="false">IFERROR(Rohdaten!C213*100/Rohdaten!R213,"–")</f>
        <v>333.333333333333</v>
      </c>
      <c r="O213" s="8" t="n">
        <f aca="false">IFERROR(Rohdaten!C213*100/Rohdaten!S213,"–")</f>
        <v>2380.95238095238</v>
      </c>
      <c r="P213" s="9" t="n">
        <f aca="false">IFERROR(Rohdaten!C213*100/Rohdaten!T213,"–")</f>
        <v>20</v>
      </c>
      <c r="Q213" s="9" t="str">
        <f aca="false">IFERROR(Rohdaten!C213*100/Rohdaten!U213,"–")</f>
        <v>–</v>
      </c>
      <c r="R213" s="8" t="n">
        <f aca="false">IFERROR(Rohdaten!C213*100/Rohdaten!V213,"–")</f>
        <v>0.791139240506329</v>
      </c>
      <c r="S213" s="8" t="n">
        <f aca="false">IFERROR(Rohdaten!C213*100/Rohdaten!W213,"–")</f>
        <v>41.6666666666667</v>
      </c>
      <c r="T213" s="8" t="n">
        <f aca="false">IFERROR(Rohdaten!C213*100/Rohdaten!X213,"–")</f>
        <v>1.93050193050193</v>
      </c>
      <c r="U213" s="8" t="n">
        <f aca="false">IFERROR(Rohdaten!C213*100/Rohdaten!Y213,"–")</f>
        <v>333.333333333333</v>
      </c>
      <c r="V213" s="8" t="n">
        <f aca="false">IFERROR(Rohdaten!C213*100/Rohdaten!Z213,"–")</f>
        <v>0.490196078431373</v>
      </c>
    </row>
    <row r="214" customFormat="false" ht="15" hidden="false" customHeight="true" outlineLevel="0" collapsed="false">
      <c r="A214" s="4" t="str">
        <f aca="false">Rohdaten!A214</f>
        <v>Kardamom, gemahlen</v>
      </c>
      <c r="B214" s="8" t="n">
        <f aca="false">Rohdaten!C214</f>
        <v>5</v>
      </c>
      <c r="C214" s="8" t="n">
        <f aca="false">IFERROR(Rohdaten!C214*100/Rohdaten!G214,"–")</f>
        <v>1.60771704180064</v>
      </c>
      <c r="D214" s="8" t="n">
        <f aca="false">IFERROR(Rohdaten!C214*100/(Rohdaten!H214*9),"–")</f>
        <v>8.29187396351575</v>
      </c>
      <c r="E214" s="8" t="n">
        <f aca="false">IFERROR(Rohdaten!C214*100/(Rohdaten!I214*4),"–")</f>
        <v>11.5740740740741</v>
      </c>
      <c r="F214" s="8" t="n">
        <f aca="false">IFERROR(Rohdaten!C214*100/(Rohdaten!J214*4),"–")</f>
        <v>1.83823529411765</v>
      </c>
      <c r="G214" s="9" t="str">
        <f aca="false">IFERROR(Rohdaten!C214*100/Rohdaten!K214,"–")</f>
        <v>–</v>
      </c>
      <c r="H214" s="8" t="n">
        <f aca="false">IFERROR(Rohdaten!C214*100/Rohdaten!L214,"–")</f>
        <v>23.8095238095238</v>
      </c>
      <c r="I214" s="9" t="str">
        <f aca="false">IFERROR(Rohdaten!C214*100/Rohdaten!M214,"–")</f>
        <v>–</v>
      </c>
      <c r="J214" s="8" t="str">
        <f aca="false">IFERROR(Rohdaten!C214*100/Rohdaten!N214,"–")</f>
        <v>–</v>
      </c>
      <c r="K214" s="9" t="str">
        <f aca="false">IFERROR(Rohdaten!C214*100/Rohdaten!O214,"–")</f>
        <v>–</v>
      </c>
      <c r="L214" s="8" t="n">
        <f aca="false">IFERROR(Rohdaten!C214*100/Rohdaten!P214,"–")</f>
        <v>2500</v>
      </c>
      <c r="M214" s="8" t="n">
        <f aca="false">IFERROR(Rohdaten!C214*100/Rohdaten!Q214,"–")</f>
        <v>2777.77777777778</v>
      </c>
      <c r="N214" s="8" t="n">
        <f aca="false">IFERROR(Rohdaten!C214*100/Rohdaten!R214,"–")</f>
        <v>454.545454545455</v>
      </c>
      <c r="O214" s="8" t="n">
        <f aca="false">IFERROR(Rohdaten!C214*100/Rohdaten!S214,"–")</f>
        <v>2173.91304347826</v>
      </c>
      <c r="P214" s="9" t="str">
        <f aca="false">IFERROR(Rohdaten!C214*100/Rohdaten!T214,"–")</f>
        <v>–</v>
      </c>
      <c r="Q214" s="9" t="str">
        <f aca="false">IFERROR(Rohdaten!C214*100/Rohdaten!U214,"–")</f>
        <v>–</v>
      </c>
      <c r="R214" s="8" t="n">
        <f aca="false">IFERROR(Rohdaten!C214*100/Rohdaten!V214,"–")</f>
        <v>1.30548302872063</v>
      </c>
      <c r="S214" s="8" t="n">
        <f aca="false">IFERROR(Rohdaten!C214*100/Rohdaten!W214,"–")</f>
        <v>35.7142857142857</v>
      </c>
      <c r="T214" s="8" t="n">
        <f aca="false">IFERROR(Rohdaten!C214*100/Rohdaten!X214,"–")</f>
        <v>2.18340611353712</v>
      </c>
      <c r="U214" s="8" t="n">
        <f aca="false">IFERROR(Rohdaten!C214*100/Rohdaten!Y214,"–")</f>
        <v>66.6666666666667</v>
      </c>
      <c r="V214" s="8" t="n">
        <f aca="false">IFERROR(Rohdaten!C214*100/Rohdaten!Z214,"–")</f>
        <v>0.446428571428571</v>
      </c>
    </row>
    <row r="215" customFormat="false" ht="15" hidden="false" customHeight="true" outlineLevel="0" collapsed="false">
      <c r="A215" s="4" t="str">
        <f aca="false">Rohdaten!A215</f>
        <v>Chilipulver/Cayennepfeffer</v>
      </c>
      <c r="B215" s="8" t="n">
        <f aca="false">Rohdaten!C215</f>
        <v>4</v>
      </c>
      <c r="C215" s="8" t="n">
        <f aca="false">IFERROR(Rohdaten!C215*100/Rohdaten!G215,"–")</f>
        <v>1.25786163522013</v>
      </c>
      <c r="D215" s="8" t="n">
        <f aca="false">IFERROR(Rohdaten!C215*100/(Rohdaten!H215*9),"–")</f>
        <v>2.61437908496732</v>
      </c>
      <c r="E215" s="8" t="n">
        <f aca="false">IFERROR(Rohdaten!C215*100/(Rohdaten!I215*4),"–")</f>
        <v>8.33333333333333</v>
      </c>
      <c r="F215" s="8" t="n">
        <f aca="false">IFERROR(Rohdaten!C215*100/(Rohdaten!J215*4),"–")</f>
        <v>1.75438596491228</v>
      </c>
      <c r="G215" s="9" t="n">
        <f aca="false">IFERROR(Rohdaten!C215*100/Rohdaten!K215,"–")</f>
        <v>0.192215281114849</v>
      </c>
      <c r="H215" s="8" t="n">
        <f aca="false">IFERROR(Rohdaten!C215*100/Rohdaten!L215,"–")</f>
        <v>5.26315789473684</v>
      </c>
      <c r="I215" s="9" t="str">
        <f aca="false">IFERROR(Rohdaten!C215*100/Rohdaten!M215,"–")</f>
        <v>–</v>
      </c>
      <c r="J215" s="8" t="n">
        <f aca="false">IFERROR(Rohdaten!C215*100/Rohdaten!N215,"–")</f>
        <v>13.4228187919463</v>
      </c>
      <c r="K215" s="9" t="str">
        <f aca="false">IFERROR(Rohdaten!C215*100/Rohdaten!O215,"–")</f>
        <v>–</v>
      </c>
      <c r="L215" s="8" t="n">
        <f aca="false">IFERROR(Rohdaten!C215*100/Rohdaten!P215,"–")</f>
        <v>1212.12121212121</v>
      </c>
      <c r="M215" s="8" t="n">
        <f aca="false">IFERROR(Rohdaten!C215*100/Rohdaten!Q215,"–")</f>
        <v>434.782608695652</v>
      </c>
      <c r="N215" s="8" t="n">
        <f aca="false">IFERROR(Rohdaten!C215*100/Rohdaten!R215,"–")</f>
        <v>45.9770114942529</v>
      </c>
      <c r="O215" s="8" t="n">
        <f aca="false">IFERROR(Rohdaten!C215*100/Rohdaten!S215,"–")</f>
        <v>166.666666666667</v>
      </c>
      <c r="P215" s="9" t="n">
        <f aca="false">IFERROR(Rohdaten!C215*100/Rohdaten!T215,"–")</f>
        <v>3.77358490566038</v>
      </c>
      <c r="Q215" s="9" t="str">
        <f aca="false">IFERROR(Rohdaten!C215*100/Rohdaten!U215,"–")</f>
        <v>–</v>
      </c>
      <c r="R215" s="8" t="n">
        <f aca="false">IFERROR(Rohdaten!C215*100/Rohdaten!V215,"–")</f>
        <v>2.7027027027027</v>
      </c>
      <c r="S215" s="8" t="n">
        <f aca="false">IFERROR(Rohdaten!C215*100/Rohdaten!W215,"–")</f>
        <v>23.5294117647059</v>
      </c>
      <c r="T215" s="8" t="n">
        <f aca="false">IFERROR(Rohdaten!C215*100/Rohdaten!X215,"–")</f>
        <v>2.63157894736842</v>
      </c>
      <c r="U215" s="8" t="n">
        <f aca="false">IFERROR(Rohdaten!C215*100/Rohdaten!Y215,"–")</f>
        <v>160</v>
      </c>
      <c r="V215" s="8" t="n">
        <f aca="false">IFERROR(Rohdaten!C215*100/Rohdaten!Z215,"–")</f>
        <v>0.199004975124378</v>
      </c>
    </row>
    <row r="216" customFormat="false" ht="15" hidden="false" customHeight="true" outlineLevel="0" collapsed="false">
      <c r="A216" s="4" t="str">
        <f aca="false">Rohdaten!A216</f>
        <v>Kümmel, ganz</v>
      </c>
      <c r="B216" s="8" t="n">
        <f aca="false">Rohdaten!C216</f>
        <v>3</v>
      </c>
      <c r="C216" s="8" t="n">
        <f aca="false">IFERROR(Rohdaten!C216*100/Rohdaten!G216,"–")</f>
        <v>0.900900900900901</v>
      </c>
      <c r="D216" s="8" t="n">
        <f aca="false">IFERROR(Rohdaten!C216*100/(Rohdaten!H216*9),"–")</f>
        <v>2.38095238095238</v>
      </c>
      <c r="E216" s="8" t="n">
        <f aca="false">IFERROR(Rohdaten!C216*100/(Rohdaten!I216*4),"–")</f>
        <v>3.75</v>
      </c>
      <c r="F216" s="8" t="n">
        <f aca="false">IFERROR(Rohdaten!C216*100/(Rohdaten!J216*4),"–")</f>
        <v>1.5</v>
      </c>
      <c r="G216" s="9" t="n">
        <f aca="false">IFERROR(Rohdaten!C216*100/Rohdaten!K216,"–")</f>
        <v>150</v>
      </c>
      <c r="H216" s="8" t="n">
        <f aca="false">IFERROR(Rohdaten!C216*100/Rohdaten!L216,"–")</f>
        <v>14.2857142857143</v>
      </c>
      <c r="I216" s="9" t="str">
        <f aca="false">IFERROR(Rohdaten!C216*100/Rohdaten!M216,"–")</f>
        <v>–</v>
      </c>
      <c r="J216" s="8" t="n">
        <f aca="false">IFERROR(Rohdaten!C216*100/Rohdaten!N216,"–")</f>
        <v>120</v>
      </c>
      <c r="K216" s="9" t="str">
        <f aca="false">IFERROR(Rohdaten!C216*100/Rohdaten!O216,"–")</f>
        <v>–</v>
      </c>
      <c r="L216" s="8" t="n">
        <f aca="false">IFERROR(Rohdaten!C216*100/Rohdaten!P216,"–")</f>
        <v>789.473684210526</v>
      </c>
      <c r="M216" s="8" t="n">
        <f aca="false">IFERROR(Rohdaten!C216*100/Rohdaten!Q216,"–")</f>
        <v>789.473684210526</v>
      </c>
      <c r="N216" s="8" t="n">
        <f aca="false">IFERROR(Rohdaten!C216*100/Rohdaten!R216,"–")</f>
        <v>83.3333333333333</v>
      </c>
      <c r="O216" s="8" t="n">
        <f aca="false">IFERROR(Rohdaten!C216*100/Rohdaten!S216,"–")</f>
        <v>833.333333333333</v>
      </c>
      <c r="P216" s="9" t="n">
        <f aca="false">IFERROR(Rohdaten!C216*100/Rohdaten!T216,"–")</f>
        <v>30</v>
      </c>
      <c r="Q216" s="9" t="str">
        <f aca="false">IFERROR(Rohdaten!C216*100/Rohdaten!U216,"–")</f>
        <v>–</v>
      </c>
      <c r="R216" s="8" t="n">
        <f aca="false">IFERROR(Rohdaten!C216*100/Rohdaten!V216,"–")</f>
        <v>0.435413642960813</v>
      </c>
      <c r="S216" s="8" t="n">
        <f aca="false">IFERROR(Rohdaten!C216*100/Rohdaten!W216,"–")</f>
        <v>18.75</v>
      </c>
      <c r="T216" s="8" t="n">
        <f aca="false">IFERROR(Rohdaten!C216*100/Rohdaten!X216,"–")</f>
        <v>1.16279069767442</v>
      </c>
      <c r="U216" s="8" t="n">
        <f aca="false">IFERROR(Rohdaten!C216*100/Rohdaten!Y216,"–")</f>
        <v>54.5454545454546</v>
      </c>
      <c r="V216" s="8" t="n">
        <f aca="false">IFERROR(Rohdaten!C216*100/Rohdaten!Z216,"–")</f>
        <v>0.222222222222222</v>
      </c>
    </row>
    <row r="217" customFormat="false" ht="15" hidden="false" customHeight="true" outlineLevel="0" collapsed="false">
      <c r="A217" s="4" t="str">
        <f aca="false">Rohdaten!A217</f>
        <v>Fenchelsamen</v>
      </c>
      <c r="B217" s="8" t="n">
        <f aca="false">Rohdaten!C217</f>
        <v>3</v>
      </c>
      <c r="C217" s="8" t="n">
        <f aca="false">IFERROR(Rohdaten!C217*100/Rohdaten!G217,"–")</f>
        <v>0.869565217391304</v>
      </c>
      <c r="D217" s="8" t="n">
        <f aca="false">IFERROR(Rohdaten!C217*100/(Rohdaten!H217*9),"–")</f>
        <v>2.22222222222222</v>
      </c>
      <c r="E217" s="8" t="n">
        <f aca="false">IFERROR(Rohdaten!C217*100/(Rohdaten!I217*4),"–")</f>
        <v>4.6875</v>
      </c>
      <c r="F217" s="8" t="n">
        <f aca="false">IFERROR(Rohdaten!C217*100/(Rohdaten!J217*4),"–")</f>
        <v>1.44230769230769</v>
      </c>
      <c r="G217" s="9" t="n">
        <f aca="false">IFERROR(Rohdaten!C217*100/Rohdaten!K217,"–")</f>
        <v>42.8571428571429</v>
      </c>
      <c r="H217" s="8" t="n">
        <f aca="false">IFERROR(Rohdaten!C217*100/Rohdaten!L217,"–")</f>
        <v>14.2857142857143</v>
      </c>
      <c r="I217" s="9" t="str">
        <f aca="false">IFERROR(Rohdaten!C217*100/Rohdaten!M217,"–")</f>
        <v>–</v>
      </c>
      <c r="J217" s="8" t="str">
        <f aca="false">IFERROR(Rohdaten!C217*100/Rohdaten!N217,"–")</f>
        <v>–</v>
      </c>
      <c r="K217" s="9" t="str">
        <f aca="false">IFERROR(Rohdaten!C217*100/Rohdaten!O217,"–")</f>
        <v>–</v>
      </c>
      <c r="L217" s="8" t="n">
        <f aca="false">IFERROR(Rohdaten!C217*100/Rohdaten!P217,"–")</f>
        <v>731.707317073171</v>
      </c>
      <c r="M217" s="8" t="n">
        <f aca="false">IFERROR(Rohdaten!C217*100/Rohdaten!Q217,"–")</f>
        <v>857.142857142857</v>
      </c>
      <c r="N217" s="8" t="n">
        <f aca="false">IFERROR(Rohdaten!C217*100/Rohdaten!R217,"–")</f>
        <v>49.1803278688525</v>
      </c>
      <c r="O217" s="8" t="n">
        <f aca="false">IFERROR(Rohdaten!C217*100/Rohdaten!S217,"–")</f>
        <v>638.297872340426</v>
      </c>
      <c r="P217" s="9" t="n">
        <f aca="false">IFERROR(Rohdaten!C217*100/Rohdaten!T217,"–")</f>
        <v>30</v>
      </c>
      <c r="Q217" s="9" t="str">
        <f aca="false">IFERROR(Rohdaten!C217*100/Rohdaten!U217,"–")</f>
        <v>–</v>
      </c>
      <c r="R217" s="8" t="n">
        <f aca="false">IFERROR(Rohdaten!C217*100/Rohdaten!V217,"–")</f>
        <v>0.250836120401338</v>
      </c>
      <c r="S217" s="8" t="n">
        <f aca="false">IFERROR(Rohdaten!C217*100/Rohdaten!W217,"–")</f>
        <v>15.7894736842105</v>
      </c>
      <c r="T217" s="8" t="n">
        <f aca="false">IFERROR(Rohdaten!C217*100/Rohdaten!X217,"–")</f>
        <v>0.779220779220779</v>
      </c>
      <c r="U217" s="8" t="n">
        <f aca="false">IFERROR(Rohdaten!C217*100/Rohdaten!Y217,"–")</f>
        <v>81.0810810810811</v>
      </c>
      <c r="V217" s="8" t="n">
        <f aca="false">IFERROR(Rohdaten!C217*100/Rohdaten!Z217,"–")</f>
        <v>0.177095631641086</v>
      </c>
    </row>
    <row r="218" customFormat="false" ht="15" hidden="false" customHeight="true" outlineLevel="0" collapsed="false">
      <c r="A218" s="4" t="str">
        <f aca="false">Rohdaten!A218</f>
        <v>Anis</v>
      </c>
      <c r="B218" s="8" t="n">
        <f aca="false">Rohdaten!C218</f>
        <v>3</v>
      </c>
      <c r="C218" s="8" t="n">
        <f aca="false">IFERROR(Rohdaten!C218*100/Rohdaten!G218,"–")</f>
        <v>0.890207715133531</v>
      </c>
      <c r="D218" s="8" t="n">
        <f aca="false">IFERROR(Rohdaten!C218*100/(Rohdaten!H218*9),"–")</f>
        <v>2.08333333333333</v>
      </c>
      <c r="E218" s="8" t="n">
        <f aca="false">IFERROR(Rohdaten!C218*100/(Rohdaten!I218*4),"–")</f>
        <v>4.16666666666667</v>
      </c>
      <c r="F218" s="8" t="n">
        <f aca="false">IFERROR(Rohdaten!C218*100/(Rohdaten!J218*4),"–")</f>
        <v>1.5</v>
      </c>
      <c r="G218" s="9" t="str">
        <f aca="false">IFERROR(Rohdaten!C218*100/Rohdaten!K218,"–")</f>
        <v>–</v>
      </c>
      <c r="H218" s="8" t="n">
        <f aca="false">IFERROR(Rohdaten!C218*100/Rohdaten!L218,"–")</f>
        <v>14.2857142857143</v>
      </c>
      <c r="I218" s="9" t="str">
        <f aca="false">IFERROR(Rohdaten!C218*100/Rohdaten!M218,"–")</f>
        <v>–</v>
      </c>
      <c r="J218" s="8" t="str">
        <f aca="false">IFERROR(Rohdaten!C218*100/Rohdaten!N218,"–")</f>
        <v>–</v>
      </c>
      <c r="K218" s="9" t="str">
        <f aca="false">IFERROR(Rohdaten!C218*100/Rohdaten!O218,"–")</f>
        <v>–</v>
      </c>
      <c r="L218" s="8" t="n">
        <f aca="false">IFERROR(Rohdaten!C218*100/Rohdaten!P218,"–")</f>
        <v>882.352941176471</v>
      </c>
      <c r="M218" s="8" t="n">
        <f aca="false">IFERROR(Rohdaten!C218*100/Rohdaten!Q218,"–")</f>
        <v>1034.48275862069</v>
      </c>
      <c r="N218" s="8" t="n">
        <f aca="false">IFERROR(Rohdaten!C218*100/Rohdaten!R218,"–")</f>
        <v>96.7741935483871</v>
      </c>
      <c r="O218" s="8" t="n">
        <f aca="false">IFERROR(Rohdaten!C218*100/Rohdaten!S218,"–")</f>
        <v>461.538461538462</v>
      </c>
      <c r="P218" s="9" t="n">
        <f aca="false">IFERROR(Rohdaten!C218*100/Rohdaten!T218,"–")</f>
        <v>30</v>
      </c>
      <c r="Q218" s="9" t="str">
        <f aca="false">IFERROR(Rohdaten!C218*100/Rohdaten!U218,"–")</f>
        <v>–</v>
      </c>
      <c r="R218" s="8" t="n">
        <f aca="false">IFERROR(Rohdaten!C218*100/Rohdaten!V218,"–")</f>
        <v>0.464396284829721</v>
      </c>
      <c r="S218" s="8" t="n">
        <f aca="false">IFERROR(Rohdaten!C218*100/Rohdaten!W218,"–")</f>
        <v>8.10810810810811</v>
      </c>
      <c r="T218" s="8" t="n">
        <f aca="false">IFERROR(Rohdaten!C218*100/Rohdaten!X218,"–")</f>
        <v>1.76470588235294</v>
      </c>
      <c r="U218" s="8" t="n">
        <f aca="false">IFERROR(Rohdaten!C218*100/Rohdaten!Y218,"–")</f>
        <v>56.6037735849057</v>
      </c>
      <c r="V218" s="8" t="n">
        <f aca="false">IFERROR(Rohdaten!C218*100/Rohdaten!Z218,"–")</f>
        <v>0.208188757807078</v>
      </c>
    </row>
    <row r="219" customFormat="false" ht="15" hidden="false" customHeight="true" outlineLevel="0" collapsed="false">
      <c r="A219" s="4" t="str">
        <f aca="false">Rohdaten!A219</f>
        <v>Sternanis</v>
      </c>
      <c r="B219" s="8" t="n">
        <f aca="false">Rohdaten!C219</f>
        <v>4</v>
      </c>
      <c r="C219" s="8" t="n">
        <f aca="false">IFERROR(Rohdaten!C219*100/Rohdaten!G219,"–")</f>
        <v>1.18694362017804</v>
      </c>
      <c r="D219" s="8" t="n">
        <f aca="false">IFERROR(Rohdaten!C219*100/(Rohdaten!H219*9),"–")</f>
        <v>2.77777777777778</v>
      </c>
      <c r="E219" s="8" t="n">
        <f aca="false">IFERROR(Rohdaten!C219*100/(Rohdaten!I219*4),"–")</f>
        <v>5.55555555555556</v>
      </c>
      <c r="F219" s="8" t="n">
        <f aca="false">IFERROR(Rohdaten!C219*100/(Rohdaten!J219*4),"–")</f>
        <v>2</v>
      </c>
      <c r="G219" s="9" t="str">
        <f aca="false">IFERROR(Rohdaten!C219*100/Rohdaten!K219,"–")</f>
        <v>–</v>
      </c>
      <c r="H219" s="8" t="n">
        <f aca="false">IFERROR(Rohdaten!C219*100/Rohdaten!L219,"–")</f>
        <v>19.047619047619</v>
      </c>
      <c r="I219" s="9" t="str">
        <f aca="false">IFERROR(Rohdaten!C219*100/Rohdaten!M219,"–")</f>
        <v>–</v>
      </c>
      <c r="J219" s="8" t="str">
        <f aca="false">IFERROR(Rohdaten!C219*100/Rohdaten!N219,"–")</f>
        <v>–</v>
      </c>
      <c r="K219" s="9" t="str">
        <f aca="false">IFERROR(Rohdaten!C219*100/Rohdaten!O219,"–")</f>
        <v>–</v>
      </c>
      <c r="L219" s="8" t="n">
        <f aca="false">IFERROR(Rohdaten!C219*100/Rohdaten!P219,"–")</f>
        <v>1176.47058823529</v>
      </c>
      <c r="M219" s="8" t="n">
        <f aca="false">IFERROR(Rohdaten!C219*100/Rohdaten!Q219,"–")</f>
        <v>1379.31034482759</v>
      </c>
      <c r="N219" s="8" t="n">
        <f aca="false">IFERROR(Rohdaten!C219*100/Rohdaten!R219,"–")</f>
        <v>129.032258064516</v>
      </c>
      <c r="O219" s="8" t="n">
        <f aca="false">IFERROR(Rohdaten!C219*100/Rohdaten!S219,"–")</f>
        <v>615.384615384615</v>
      </c>
      <c r="P219" s="9" t="n">
        <f aca="false">IFERROR(Rohdaten!C219*100/Rohdaten!T219,"–")</f>
        <v>40</v>
      </c>
      <c r="Q219" s="9" t="str">
        <f aca="false">IFERROR(Rohdaten!C219*100/Rohdaten!U219,"–")</f>
        <v>–</v>
      </c>
      <c r="R219" s="8" t="n">
        <f aca="false">IFERROR(Rohdaten!C219*100/Rohdaten!V219,"–")</f>
        <v>0.619195046439629</v>
      </c>
      <c r="S219" s="8" t="n">
        <f aca="false">IFERROR(Rohdaten!C219*100/Rohdaten!W219,"–")</f>
        <v>10.8108108108108</v>
      </c>
      <c r="T219" s="8" t="n">
        <f aca="false">IFERROR(Rohdaten!C219*100/Rohdaten!X219,"–")</f>
        <v>2.35294117647059</v>
      </c>
      <c r="U219" s="8" t="n">
        <f aca="false">IFERROR(Rohdaten!C219*100/Rohdaten!Y219,"–")</f>
        <v>75.4716981132076</v>
      </c>
      <c r="V219" s="8" t="n">
        <f aca="false">IFERROR(Rohdaten!C219*100/Rohdaten!Z219,"–")</f>
        <v>0.277585010409438</v>
      </c>
    </row>
    <row r="220" customFormat="false" ht="15" hidden="false" customHeight="true" outlineLevel="0" collapsed="false">
      <c r="A220" s="4" t="str">
        <f aca="false">Rohdaten!A220</f>
        <v>Vanilleschote</v>
      </c>
      <c r="B220" s="8" t="n">
        <f aca="false">Rohdaten!C220</f>
        <v>8</v>
      </c>
      <c r="C220" s="8" t="n">
        <f aca="false">IFERROR(Rohdaten!C220*100/Rohdaten!G220,"–")</f>
        <v>2.77777777777778</v>
      </c>
      <c r="D220" s="8" t="n">
        <f aca="false">IFERROR(Rohdaten!C220*100/(Rohdaten!H220*9),"–")</f>
        <v>888.888888888889</v>
      </c>
      <c r="E220" s="8" t="n">
        <f aca="false">IFERROR(Rohdaten!C220*100/(Rohdaten!I220*4),"–")</f>
        <v>2000</v>
      </c>
      <c r="F220" s="8" t="n">
        <f aca="false">IFERROR(Rohdaten!C220*100/(Rohdaten!J220*4),"–")</f>
        <v>15.3846153846154</v>
      </c>
      <c r="G220" s="9" t="str">
        <f aca="false">IFERROR(Rohdaten!C220*100/Rohdaten!K220,"–")</f>
        <v>–</v>
      </c>
      <c r="H220" s="8" t="str">
        <f aca="false">IFERROR(Rohdaten!C220*100/Rohdaten!L220,"–")</f>
        <v>–</v>
      </c>
      <c r="I220" s="9" t="str">
        <f aca="false">IFERROR(Rohdaten!C220*100/Rohdaten!M220,"–")</f>
        <v>–</v>
      </c>
      <c r="J220" s="8" t="str">
        <f aca="false">IFERROR(Rohdaten!C220*100/Rohdaten!N220,"–")</f>
        <v>–</v>
      </c>
      <c r="K220" s="9" t="str">
        <f aca="false">IFERROR(Rohdaten!C220*100/Rohdaten!O220,"–")</f>
        <v>–</v>
      </c>
      <c r="L220" s="8" t="str">
        <f aca="false">IFERROR(Rohdaten!C220*100/Rohdaten!P220,"–")</f>
        <v>–</v>
      </c>
      <c r="M220" s="8" t="n">
        <f aca="false">IFERROR(Rohdaten!C220*100/Rohdaten!Q220,"–")</f>
        <v>2500</v>
      </c>
      <c r="N220" s="8" t="n">
        <f aca="false">IFERROR(Rohdaten!C220*100/Rohdaten!R220,"–")</f>
        <v>320</v>
      </c>
      <c r="O220" s="8" t="n">
        <f aca="false">IFERROR(Rohdaten!C220*100/Rohdaten!S220,"–")</f>
        <v>26666.6666666667</v>
      </c>
      <c r="P220" s="9" t="str">
        <f aca="false">IFERROR(Rohdaten!C220*100/Rohdaten!T220,"–")</f>
        <v>–</v>
      </c>
      <c r="Q220" s="9" t="str">
        <f aca="false">IFERROR(Rohdaten!C220*100/Rohdaten!U220,"–")</f>
        <v>–</v>
      </c>
      <c r="R220" s="8" t="n">
        <f aca="false">IFERROR(Rohdaten!C220*100/Rohdaten!V220,"–")</f>
        <v>72.7272727272727</v>
      </c>
      <c r="S220" s="8" t="n">
        <f aca="false">IFERROR(Rohdaten!C220*100/Rohdaten!W220,"–")</f>
        <v>8000</v>
      </c>
      <c r="T220" s="8" t="n">
        <f aca="false">IFERROR(Rohdaten!C220*100/Rohdaten!X220,"–")</f>
        <v>66.6666666666667</v>
      </c>
      <c r="U220" s="8" t="n">
        <f aca="false">IFERROR(Rohdaten!C220*100/Rohdaten!Y220,"–")</f>
        <v>8000</v>
      </c>
      <c r="V220" s="8" t="n">
        <f aca="false">IFERROR(Rohdaten!C220*100/Rohdaten!Z220,"–")</f>
        <v>5.40540540540541</v>
      </c>
    </row>
    <row r="221" customFormat="false" ht="15" hidden="false" customHeight="true" outlineLevel="0" collapsed="false">
      <c r="A221" s="4" t="str">
        <f aca="false">Rohdaten!A221</f>
        <v>Safran</v>
      </c>
      <c r="B221" s="8" t="n">
        <f aca="false">Rohdaten!C221</f>
        <v>15</v>
      </c>
      <c r="C221" s="8" t="n">
        <f aca="false">IFERROR(Rohdaten!C221*100/Rohdaten!G221,"–")</f>
        <v>4.83870967741936</v>
      </c>
      <c r="D221" s="8" t="n">
        <f aca="false">IFERROR(Rohdaten!C221*100/(Rohdaten!H221*9),"–")</f>
        <v>27.7777777777778</v>
      </c>
      <c r="E221" s="8" t="n">
        <f aca="false">IFERROR(Rohdaten!C221*100/(Rohdaten!I221*4),"–")</f>
        <v>32.8947368421053</v>
      </c>
      <c r="F221" s="8" t="n">
        <f aca="false">IFERROR(Rohdaten!C221*100/(Rohdaten!J221*4),"–")</f>
        <v>5.76923076923077</v>
      </c>
      <c r="G221" s="9" t="str">
        <f aca="false">IFERROR(Rohdaten!C221*100/Rohdaten!K221,"–")</f>
        <v>–</v>
      </c>
      <c r="H221" s="8" t="n">
        <f aca="false">IFERROR(Rohdaten!C221*100/Rohdaten!L221,"–")</f>
        <v>18.5643564356436</v>
      </c>
      <c r="I221" s="9" t="str">
        <f aca="false">IFERROR(Rohdaten!C221*100/Rohdaten!M221,"–")</f>
        <v>–</v>
      </c>
      <c r="J221" s="8" t="n">
        <f aca="false">IFERROR(Rohdaten!C221*100/Rohdaten!N221,"–")</f>
        <v>1500</v>
      </c>
      <c r="K221" s="9" t="str">
        <f aca="false">IFERROR(Rohdaten!C221*100/Rohdaten!O221,"–")</f>
        <v>–</v>
      </c>
      <c r="L221" s="8" t="n">
        <f aca="false">IFERROR(Rohdaten!C221*100/Rohdaten!P221,"–")</f>
        <v>12500</v>
      </c>
      <c r="M221" s="8" t="n">
        <f aca="false">IFERROR(Rohdaten!C221*100/Rohdaten!Q221,"–")</f>
        <v>5555.55555555556</v>
      </c>
      <c r="N221" s="8" t="n">
        <f aca="false">IFERROR(Rohdaten!C221*100/Rohdaten!R221,"–")</f>
        <v>1000</v>
      </c>
      <c r="O221" s="8" t="n">
        <f aca="false">IFERROR(Rohdaten!C221*100/Rohdaten!S221,"–")</f>
        <v>1500</v>
      </c>
      <c r="P221" s="9" t="n">
        <f aca="false">IFERROR(Rohdaten!C221*100/Rohdaten!T221,"–")</f>
        <v>16.1290322580645</v>
      </c>
      <c r="Q221" s="9" t="str">
        <f aca="false">IFERROR(Rohdaten!C221*100/Rohdaten!U221,"–")</f>
        <v>–</v>
      </c>
      <c r="R221" s="8" t="n">
        <f aca="false">IFERROR(Rohdaten!C221*100/Rohdaten!V221,"–")</f>
        <v>13.5135135135135</v>
      </c>
      <c r="S221" s="8" t="n">
        <f aca="false">IFERROR(Rohdaten!C221*100/Rohdaten!W221,"–")</f>
        <v>136.363636363636</v>
      </c>
      <c r="T221" s="8" t="n">
        <f aca="false">IFERROR(Rohdaten!C221*100/Rohdaten!X221,"–")</f>
        <v>5.68181818181818</v>
      </c>
      <c r="U221" s="8" t="n">
        <f aca="false">IFERROR(Rohdaten!C221*100/Rohdaten!Y221,"–")</f>
        <v>1363.63636363636</v>
      </c>
      <c r="V221" s="8" t="n">
        <f aca="false">IFERROR(Rohdaten!C221*100/Rohdaten!Z221,"–")</f>
        <v>0.870069605568446</v>
      </c>
    </row>
    <row r="222" customFormat="false" ht="15" hidden="false" customHeight="true" outlineLevel="0" collapsed="false">
      <c r="A222" s="4" t="str">
        <f aca="false">Rohdaten!A222</f>
        <v>Piment</v>
      </c>
      <c r="B222" s="8" t="n">
        <f aca="false">Rohdaten!C222</f>
        <v>4</v>
      </c>
      <c r="C222" s="8" t="n">
        <f aca="false">IFERROR(Rohdaten!C222*100/Rohdaten!G222,"–")</f>
        <v>1.52091254752852</v>
      </c>
      <c r="D222" s="8" t="n">
        <f aca="false">IFERROR(Rohdaten!C222*100/(Rohdaten!H222*9),"–")</f>
        <v>5.10855683269476</v>
      </c>
      <c r="E222" s="8" t="n">
        <f aca="false">IFERROR(Rohdaten!C222*100/(Rohdaten!I222*4),"–")</f>
        <v>16.3934426229508</v>
      </c>
      <c r="F222" s="8" t="n">
        <f aca="false">IFERROR(Rohdaten!C222*100/(Rohdaten!J222*4),"–")</f>
        <v>1.38888888888889</v>
      </c>
      <c r="G222" s="9" t="str">
        <f aca="false">IFERROR(Rohdaten!C222*100/Rohdaten!K222,"–")</f>
        <v>–</v>
      </c>
      <c r="H222" s="8" t="n">
        <f aca="false">IFERROR(Rohdaten!C222*100/Rohdaten!L222,"–")</f>
        <v>10.2564102564103</v>
      </c>
      <c r="I222" s="9" t="str">
        <f aca="false">IFERROR(Rohdaten!C222*100/Rohdaten!M222,"–")</f>
        <v>–</v>
      </c>
      <c r="J222" s="8" t="str">
        <f aca="false">IFERROR(Rohdaten!C222*100/Rohdaten!N222,"–")</f>
        <v>–</v>
      </c>
      <c r="K222" s="9" t="str">
        <f aca="false">IFERROR(Rohdaten!C222*100/Rohdaten!O222,"–")</f>
        <v>–</v>
      </c>
      <c r="L222" s="8" t="n">
        <f aca="false">IFERROR(Rohdaten!C222*100/Rohdaten!P222,"–")</f>
        <v>4000</v>
      </c>
      <c r="M222" s="8" t="n">
        <f aca="false">IFERROR(Rohdaten!C222*100/Rohdaten!Q222,"–")</f>
        <v>6666.66666666667</v>
      </c>
      <c r="N222" s="8" t="n">
        <f aca="false">IFERROR(Rohdaten!C222*100/Rohdaten!R222,"–")</f>
        <v>137.931034482759</v>
      </c>
      <c r="O222" s="8" t="n">
        <f aca="false">IFERROR(Rohdaten!C222*100/Rohdaten!S222,"–")</f>
        <v>1904.7619047619</v>
      </c>
      <c r="P222" s="9" t="str">
        <f aca="false">IFERROR(Rohdaten!C222*100/Rohdaten!T222,"–")</f>
        <v>–</v>
      </c>
      <c r="Q222" s="9" t="str">
        <f aca="false">IFERROR(Rohdaten!C222*100/Rohdaten!U222,"–")</f>
        <v>–</v>
      </c>
      <c r="R222" s="8" t="n">
        <f aca="false">IFERROR(Rohdaten!C222*100/Rohdaten!V222,"–")</f>
        <v>0.605143721633888</v>
      </c>
      <c r="S222" s="8" t="n">
        <f aca="false">IFERROR(Rohdaten!C222*100/Rohdaten!W222,"–")</f>
        <v>47.6190476190476</v>
      </c>
      <c r="T222" s="8" t="n">
        <f aca="false">IFERROR(Rohdaten!C222*100/Rohdaten!X222,"–")</f>
        <v>2.96296296296296</v>
      </c>
      <c r="U222" s="8" t="n">
        <f aca="false">IFERROR(Rohdaten!C222*100/Rohdaten!Y222,"–")</f>
        <v>444.444444444444</v>
      </c>
      <c r="V222" s="8" t="n">
        <f aca="false">IFERROR(Rohdaten!C222*100/Rohdaten!Z222,"–")</f>
        <v>0.383141762452107</v>
      </c>
    </row>
    <row r="223" customFormat="false" ht="15" hidden="false" customHeight="true" outlineLevel="0" collapsed="false">
      <c r="A223" s="4" t="str">
        <f aca="false">Rohdaten!A223</f>
        <v>Pfeffer, schwarz, gemahlen</v>
      </c>
      <c r="B223" s="8" t="n">
        <f aca="false">Rohdaten!C223</f>
        <v>3</v>
      </c>
      <c r="C223" s="8" t="n">
        <f aca="false">IFERROR(Rohdaten!C223*100/Rohdaten!G223,"–")</f>
        <v>1.19521912350598</v>
      </c>
      <c r="D223" s="8" t="n">
        <f aca="false">IFERROR(Rohdaten!C223*100/(Rohdaten!H223*9),"–")</f>
        <v>10.1010101010101</v>
      </c>
      <c r="E223" s="8" t="n">
        <f aca="false">IFERROR(Rohdaten!C223*100/(Rohdaten!I223*4),"–")</f>
        <v>7.21153846153846</v>
      </c>
      <c r="F223" s="8" t="n">
        <f aca="false">IFERROR(Rohdaten!C223*100/(Rohdaten!J223*4),"–")</f>
        <v>1.171875</v>
      </c>
      <c r="G223" s="9" t="str">
        <f aca="false">IFERROR(Rohdaten!C223*100/Rohdaten!K223,"–")</f>
        <v>–</v>
      </c>
      <c r="H223" s="8" t="str">
        <f aca="false">IFERROR(Rohdaten!C223*100/Rohdaten!L223,"–")</f>
        <v>–</v>
      </c>
      <c r="I223" s="9" t="str">
        <f aca="false">IFERROR(Rohdaten!C223*100/Rohdaten!M223,"–")</f>
        <v>–</v>
      </c>
      <c r="J223" s="8" t="str">
        <f aca="false">IFERROR(Rohdaten!C223*100/Rohdaten!N223,"–")</f>
        <v>–</v>
      </c>
      <c r="K223" s="9" t="n">
        <f aca="false">IFERROR(Rohdaten!C223*100/Rohdaten!O223,"–")</f>
        <v>1.82926829268293</v>
      </c>
      <c r="L223" s="8" t="n">
        <f aca="false">IFERROR(Rohdaten!C223*100/Rohdaten!P223,"–")</f>
        <v>2727.27272727273</v>
      </c>
      <c r="M223" s="8" t="n">
        <f aca="false">IFERROR(Rohdaten!C223*100/Rohdaten!Q223,"–")</f>
        <v>1250</v>
      </c>
      <c r="N223" s="8" t="n">
        <f aca="false">IFERROR(Rohdaten!C223*100/Rohdaten!R223,"–")</f>
        <v>272.727272727273</v>
      </c>
      <c r="O223" s="8" t="n">
        <f aca="false">IFERROR(Rohdaten!C223*100/Rohdaten!S223,"–")</f>
        <v>882.352941176471</v>
      </c>
      <c r="P223" s="9" t="n">
        <f aca="false">IFERROR(Rohdaten!C223*100/Rohdaten!T223,"–")</f>
        <v>30</v>
      </c>
      <c r="Q223" s="9" t="str">
        <f aca="false">IFERROR(Rohdaten!C223*100/Rohdaten!U223,"–")</f>
        <v>–</v>
      </c>
      <c r="R223" s="8" t="n">
        <f aca="false">IFERROR(Rohdaten!C223*100/Rohdaten!V223,"–")</f>
        <v>0.677200902934537</v>
      </c>
      <c r="S223" s="8" t="n">
        <f aca="false">IFERROR(Rohdaten!C223*100/Rohdaten!W223,"–")</f>
        <v>10.7142857142857</v>
      </c>
      <c r="T223" s="8" t="n">
        <f aca="false">IFERROR(Rohdaten!C223*100/Rohdaten!X223,"–")</f>
        <v>1.75438596491228</v>
      </c>
      <c r="U223" s="8" t="n">
        <f aca="false">IFERROR(Rohdaten!C223*100/Rohdaten!Y223,"–")</f>
        <v>250</v>
      </c>
      <c r="V223" s="8" t="n">
        <f aca="false">IFERROR(Rohdaten!C223*100/Rohdaten!Z223,"–")</f>
        <v>0.225733634311512</v>
      </c>
    </row>
    <row r="224" customFormat="false" ht="15" hidden="false" customHeight="true" outlineLevel="0" collapsed="false">
      <c r="A224" s="4" t="str">
        <f aca="false">Rohdaten!A224</f>
        <v>Pfeffer, weiß, gemahlen</v>
      </c>
      <c r="B224" s="8" t="n">
        <f aca="false">Rohdaten!C224</f>
        <v>3</v>
      </c>
      <c r="C224" s="8" t="n">
        <f aca="false">IFERROR(Rohdaten!C224*100/Rohdaten!G224,"–")</f>
        <v>1.01351351351351</v>
      </c>
      <c r="D224" s="8" t="n">
        <f aca="false">IFERROR(Rohdaten!C224*100/(Rohdaten!H224*9),"–")</f>
        <v>15.8730158730159</v>
      </c>
      <c r="E224" s="8" t="n">
        <f aca="false">IFERROR(Rohdaten!C224*100/(Rohdaten!I224*4),"–")</f>
        <v>7.21153846153846</v>
      </c>
      <c r="F224" s="8" t="n">
        <f aca="false">IFERROR(Rohdaten!C224*100/(Rohdaten!J224*4),"–")</f>
        <v>1.08695652173913</v>
      </c>
      <c r="G224" s="9" t="str">
        <f aca="false">IFERROR(Rohdaten!C224*100/Rohdaten!K224,"–")</f>
        <v>–</v>
      </c>
      <c r="H224" s="8" t="n">
        <f aca="false">IFERROR(Rohdaten!C224*100/Rohdaten!L224,"–")</f>
        <v>14.2857142857143</v>
      </c>
      <c r="I224" s="9" t="str">
        <f aca="false">IFERROR(Rohdaten!C224*100/Rohdaten!M224,"–")</f>
        <v>–</v>
      </c>
      <c r="J224" s="8" t="str">
        <f aca="false">IFERROR(Rohdaten!C224*100/Rohdaten!N224,"–")</f>
        <v>–</v>
      </c>
      <c r="K224" s="9" t="str">
        <f aca="false">IFERROR(Rohdaten!C224*100/Rohdaten!O224,"–")</f>
        <v>–</v>
      </c>
      <c r="L224" s="8" t="n">
        <f aca="false">IFERROR(Rohdaten!C224*100/Rohdaten!P224,"–")</f>
        <v>15000</v>
      </c>
      <c r="M224" s="8" t="n">
        <f aca="false">IFERROR(Rohdaten!C224*100/Rohdaten!Q224,"–")</f>
        <v>1875</v>
      </c>
      <c r="N224" s="8" t="n">
        <f aca="false">IFERROR(Rohdaten!C224*100/Rohdaten!R224,"–")</f>
        <v>1000</v>
      </c>
      <c r="O224" s="8" t="n">
        <f aca="false">IFERROR(Rohdaten!C224*100/Rohdaten!S224,"–")</f>
        <v>1034.48275862069</v>
      </c>
      <c r="P224" s="9" t="n">
        <f aca="false">IFERROR(Rohdaten!C224*100/Rohdaten!T224,"–")</f>
        <v>30</v>
      </c>
      <c r="Q224" s="9" t="str">
        <f aca="false">IFERROR(Rohdaten!C224*100/Rohdaten!U224,"–")</f>
        <v>–</v>
      </c>
      <c r="R224" s="8" t="n">
        <f aca="false">IFERROR(Rohdaten!C224*100/Rohdaten!V224,"–")</f>
        <v>1.13207547169811</v>
      </c>
      <c r="S224" s="8" t="n">
        <f aca="false">IFERROR(Rohdaten!C224*100/Rohdaten!W224,"–")</f>
        <v>21.4285714285714</v>
      </c>
      <c r="T224" s="8" t="n">
        <f aca="false">IFERROR(Rohdaten!C224*100/Rohdaten!X224,"–")</f>
        <v>3.33333333333333</v>
      </c>
      <c r="U224" s="8" t="n">
        <f aca="false">IFERROR(Rohdaten!C224*100/Rohdaten!Y224,"–")</f>
        <v>272.727272727273</v>
      </c>
      <c r="V224" s="8" t="n">
        <f aca="false">IFERROR(Rohdaten!C224*100/Rohdaten!Z224,"–")</f>
        <v>4.10958904109589</v>
      </c>
    </row>
    <row r="225" customFormat="false" ht="15" hidden="false" customHeight="true" outlineLevel="0" collapsed="false">
      <c r="A225" s="4" t="str">
        <f aca="false">Rohdaten!A225</f>
        <v>Senfkörner, gelb</v>
      </c>
      <c r="B225" s="8" t="n">
        <f aca="false">Rohdaten!C225</f>
        <v>2</v>
      </c>
      <c r="C225" s="8" t="n">
        <f aca="false">IFERROR(Rohdaten!C225*100/Rohdaten!G225,"–")</f>
        <v>0.393700787401575</v>
      </c>
      <c r="D225" s="8" t="n">
        <f aca="false">IFERROR(Rohdaten!C225*100/(Rohdaten!H225*9),"–")</f>
        <v>0.617283950617284</v>
      </c>
      <c r="E225" s="8" t="n">
        <f aca="false">IFERROR(Rohdaten!C225*100/(Rohdaten!I225*4),"–")</f>
        <v>1.92307692307692</v>
      </c>
      <c r="F225" s="8" t="n">
        <f aca="false">IFERROR(Rohdaten!C225*100/(Rohdaten!J225*4),"–")</f>
        <v>1.78571428571429</v>
      </c>
      <c r="G225" s="9" t="n">
        <f aca="false">IFERROR(Rohdaten!C225*100/Rohdaten!K225,"–")</f>
        <v>66.6666666666667</v>
      </c>
      <c r="H225" s="8" t="n">
        <f aca="false">IFERROR(Rohdaten!C225*100/Rohdaten!L225,"–")</f>
        <v>28.169014084507</v>
      </c>
      <c r="I225" s="9" t="str">
        <f aca="false">IFERROR(Rohdaten!C225*100/Rohdaten!M225,"–")</f>
        <v>–</v>
      </c>
      <c r="J225" s="8" t="n">
        <f aca="false">IFERROR(Rohdaten!C225*100/Rohdaten!N225,"–")</f>
        <v>39.2156862745098</v>
      </c>
      <c r="K225" s="9" t="n">
        <f aca="false">IFERROR(Rohdaten!C225*100/Rohdaten!O225,"–")</f>
        <v>37.037037037037</v>
      </c>
      <c r="L225" s="8" t="n">
        <f aca="false">IFERROR(Rohdaten!C225*100/Rohdaten!P225,"–")</f>
        <v>307.692307692308</v>
      </c>
      <c r="M225" s="8" t="n">
        <f aca="false">IFERROR(Rohdaten!C225*100/Rohdaten!Q225,"–")</f>
        <v>689.655172413793</v>
      </c>
      <c r="N225" s="8" t="n">
        <f aca="false">IFERROR(Rohdaten!C225*100/Rohdaten!R225,"–")</f>
        <v>25.3164556962025</v>
      </c>
      <c r="O225" s="8" t="n">
        <f aca="false">IFERROR(Rohdaten!C225*100/Rohdaten!S225,"–")</f>
        <v>500</v>
      </c>
      <c r="P225" s="9" t="n">
        <f aca="false">IFERROR(Rohdaten!C225*100/Rohdaten!T225,"–")</f>
        <v>1.23456790123457</v>
      </c>
      <c r="Q225" s="9" t="str">
        <f aca="false">IFERROR(Rohdaten!C225*100/Rohdaten!U225,"–")</f>
        <v>–</v>
      </c>
      <c r="R225" s="8" t="n">
        <f aca="false">IFERROR(Rohdaten!C225*100/Rohdaten!V225,"–")</f>
        <v>0.75187969924812</v>
      </c>
      <c r="S225" s="8" t="n">
        <f aca="false">IFERROR(Rohdaten!C225*100/Rohdaten!W225,"–")</f>
        <v>21.7391304347826</v>
      </c>
      <c r="T225" s="8" t="n">
        <f aca="false">IFERROR(Rohdaten!C225*100/Rohdaten!X225,"–")</f>
        <v>0.540540540540541</v>
      </c>
      <c r="U225" s="8" t="n">
        <f aca="false">IFERROR(Rohdaten!C225*100/Rohdaten!Y225,"–")</f>
        <v>32.7868852459016</v>
      </c>
      <c r="V225" s="8" t="n">
        <f aca="false">IFERROR(Rohdaten!C225*100/Rohdaten!Z225,"–")</f>
        <v>0.2710027100271</v>
      </c>
    </row>
    <row r="226" customFormat="false" ht="15" hidden="false" customHeight="true" outlineLevel="0" collapsed="false">
      <c r="A226" s="4" t="str">
        <f aca="false">Rohdaten!A226</f>
        <v>Meersalz</v>
      </c>
      <c r="B226" s="8" t="n">
        <f aca="false">Rohdaten!C226</f>
        <v>0.3</v>
      </c>
      <c r="C226" s="8" t="str">
        <f aca="false">IFERROR(Rohdaten!C226*100/Rohdaten!G226,"–")</f>
        <v>–</v>
      </c>
      <c r="D226" s="8" t="str">
        <f aca="false">IFERROR(Rohdaten!C226*100/(Rohdaten!H226*9),"–")</f>
        <v>–</v>
      </c>
      <c r="E226" s="8" t="str">
        <f aca="false">IFERROR(Rohdaten!C226*100/(Rohdaten!I226*4),"–")</f>
        <v>–</v>
      </c>
      <c r="F226" s="8" t="str">
        <f aca="false">IFERROR(Rohdaten!C226*100/(Rohdaten!J226*4),"–")</f>
        <v>–</v>
      </c>
      <c r="G226" s="9" t="str">
        <f aca="false">IFERROR(Rohdaten!C226*100/Rohdaten!K226,"–")</f>
        <v>–</v>
      </c>
      <c r="H226" s="8" t="str">
        <f aca="false">IFERROR(Rohdaten!C226*100/Rohdaten!L226,"–")</f>
        <v>–</v>
      </c>
      <c r="I226" s="9" t="str">
        <f aca="false">IFERROR(Rohdaten!C226*100/Rohdaten!M226,"–")</f>
        <v>–</v>
      </c>
      <c r="J226" s="8" t="str">
        <f aca="false">IFERROR(Rohdaten!C226*100/Rohdaten!N226,"–")</f>
        <v>–</v>
      </c>
      <c r="K226" s="9" t="str">
        <f aca="false">IFERROR(Rohdaten!C226*100/Rohdaten!O226,"–")</f>
        <v>–</v>
      </c>
      <c r="L226" s="8" t="str">
        <f aca="false">IFERROR(Rohdaten!C226*100/Rohdaten!P226,"–")</f>
        <v>–</v>
      </c>
      <c r="M226" s="8" t="str">
        <f aca="false">IFERROR(Rohdaten!C226*100/Rohdaten!Q226,"–")</f>
        <v>–</v>
      </c>
      <c r="N226" s="8" t="str">
        <f aca="false">IFERROR(Rohdaten!C226*100/Rohdaten!R226,"–")</f>
        <v>–</v>
      </c>
      <c r="O226" s="8" t="str">
        <f aca="false">IFERROR(Rohdaten!C226*100/Rohdaten!S226,"–")</f>
        <v>–</v>
      </c>
      <c r="P226" s="9" t="str">
        <f aca="false">IFERROR(Rohdaten!C226*100/Rohdaten!T226,"–")</f>
        <v>–</v>
      </c>
      <c r="Q226" s="9" t="str">
        <f aca="false">IFERROR(Rohdaten!C226*100/Rohdaten!U226,"–")</f>
        <v>–</v>
      </c>
      <c r="R226" s="8" t="n">
        <f aca="false">IFERROR(Rohdaten!C226*100/Rohdaten!V226,"–")</f>
        <v>1.25</v>
      </c>
      <c r="S226" s="8" t="n">
        <f aca="false">IFERROR(Rohdaten!C226*100/Rohdaten!W226,"–")</f>
        <v>23.0769230769231</v>
      </c>
      <c r="T226" s="8" t="n">
        <f aca="false">IFERROR(Rohdaten!C226*100/Rohdaten!X226,"–")</f>
        <v>15</v>
      </c>
      <c r="U226" s="8" t="str">
        <f aca="false">IFERROR(Rohdaten!C226*100/Rohdaten!Y226,"–")</f>
        <v>–</v>
      </c>
      <c r="V226" s="8" t="n">
        <f aca="false">IFERROR(Rohdaten!C226*100/Rohdaten!Z226,"–")</f>
        <v>3.75</v>
      </c>
    </row>
    <row r="227" customFormat="false" ht="15" hidden="false" customHeight="true" outlineLevel="0" collapsed="false">
      <c r="A227" s="4" t="str">
        <f aca="false">Rohdaten!A227</f>
        <v>Speisesalz, raffiniert</v>
      </c>
      <c r="B227" s="8" t="n">
        <f aca="false">Rohdaten!C227</f>
        <v>0.2</v>
      </c>
      <c r="C227" s="8" t="str">
        <f aca="false">IFERROR(Rohdaten!C227*100/Rohdaten!G227,"–")</f>
        <v>–</v>
      </c>
      <c r="D227" s="8" t="str">
        <f aca="false">IFERROR(Rohdaten!C227*100/(Rohdaten!H227*9),"–")</f>
        <v>–</v>
      </c>
      <c r="E227" s="8" t="str">
        <f aca="false">IFERROR(Rohdaten!C227*100/(Rohdaten!I227*4),"–")</f>
        <v>–</v>
      </c>
      <c r="F227" s="8" t="str">
        <f aca="false">IFERROR(Rohdaten!C227*100/(Rohdaten!J227*4),"–")</f>
        <v>–</v>
      </c>
      <c r="G227" s="9" t="str">
        <f aca="false">IFERROR(Rohdaten!C227*100/Rohdaten!K227,"–")</f>
        <v>–</v>
      </c>
      <c r="H227" s="8" t="str">
        <f aca="false">IFERROR(Rohdaten!C227*100/Rohdaten!L227,"–")</f>
        <v>–</v>
      </c>
      <c r="I227" s="9" t="str">
        <f aca="false">IFERROR(Rohdaten!C227*100/Rohdaten!M227,"–")</f>
        <v>–</v>
      </c>
      <c r="J227" s="8" t="str">
        <f aca="false">IFERROR(Rohdaten!C227*100/Rohdaten!N227,"–")</f>
        <v>–</v>
      </c>
      <c r="K227" s="9" t="str">
        <f aca="false">IFERROR(Rohdaten!C227*100/Rohdaten!O227,"–")</f>
        <v>–</v>
      </c>
      <c r="L227" s="8" t="str">
        <f aca="false">IFERROR(Rohdaten!C227*100/Rohdaten!P227,"–")</f>
        <v>–</v>
      </c>
      <c r="M227" s="8" t="str">
        <f aca="false">IFERROR(Rohdaten!C227*100/Rohdaten!Q227,"–")</f>
        <v>–</v>
      </c>
      <c r="N227" s="8" t="str">
        <f aca="false">IFERROR(Rohdaten!C227*100/Rohdaten!R227,"–")</f>
        <v>–</v>
      </c>
      <c r="O227" s="8" t="str">
        <f aca="false">IFERROR(Rohdaten!C227*100/Rohdaten!S227,"–")</f>
        <v>–</v>
      </c>
      <c r="P227" s="9" t="str">
        <f aca="false">IFERROR(Rohdaten!C227*100/Rohdaten!T227,"–")</f>
        <v>–</v>
      </c>
      <c r="Q227" s="9" t="str">
        <f aca="false">IFERROR(Rohdaten!C227*100/Rohdaten!U227,"–")</f>
        <v>–</v>
      </c>
      <c r="R227" s="8" t="n">
        <f aca="false">IFERROR(Rohdaten!C227*100/Rohdaten!V227,"–")</f>
        <v>0.833333333333333</v>
      </c>
      <c r="S227" s="8" t="n">
        <f aca="false">IFERROR(Rohdaten!C227*100/Rohdaten!W227,"–")</f>
        <v>66.6666666666667</v>
      </c>
      <c r="T227" s="8" t="n">
        <f aca="false">IFERROR(Rohdaten!C227*100/Rohdaten!X227,"–")</f>
        <v>20</v>
      </c>
      <c r="U227" s="8" t="str">
        <f aca="false">IFERROR(Rohdaten!C227*100/Rohdaten!Y227,"–")</f>
        <v>–</v>
      </c>
      <c r="V227" s="8" t="n">
        <f aca="false">IFERROR(Rohdaten!C227*100/Rohdaten!Z227,"–")</f>
        <v>5</v>
      </c>
    </row>
    <row r="228" customFormat="false" ht="15" hidden="false" customHeight="true" outlineLevel="0" collapsed="false">
      <c r="A228" s="4" t="str">
        <f aca="false">Rohdaten!A228</f>
        <v>Senf, mittelscharf</v>
      </c>
      <c r="B228" s="8" t="n">
        <f aca="false">Rohdaten!C228</f>
        <v>1.2</v>
      </c>
      <c r="C228" s="8" t="n">
        <f aca="false">IFERROR(Rohdaten!C228*100/Rohdaten!G228,"–")</f>
        <v>1.09090909090909</v>
      </c>
      <c r="D228" s="8" t="n">
        <f aca="false">IFERROR(Rohdaten!C228*100/(Rohdaten!H228*9),"–")</f>
        <v>3.33333333333333</v>
      </c>
      <c r="E228" s="8" t="n">
        <f aca="false">IFERROR(Rohdaten!C228*100/(Rohdaten!I228*4),"–")</f>
        <v>5</v>
      </c>
      <c r="F228" s="8" t="n">
        <f aca="false">IFERROR(Rohdaten!C228*100/(Rohdaten!J228*4),"–")</f>
        <v>3</v>
      </c>
      <c r="G228" s="9" t="n">
        <f aca="false">IFERROR(Rohdaten!C228*100/Rohdaten!K228,"–")</f>
        <v>40</v>
      </c>
      <c r="H228" s="8" t="n">
        <f aca="false">IFERROR(Rohdaten!C228*100/Rohdaten!L228,"–")</f>
        <v>120</v>
      </c>
      <c r="I228" s="9" t="str">
        <f aca="false">IFERROR(Rohdaten!C228*100/Rohdaten!M228,"–")</f>
        <v>–</v>
      </c>
      <c r="J228" s="8" t="n">
        <f aca="false">IFERROR(Rohdaten!C228*100/Rohdaten!N228,"–")</f>
        <v>120</v>
      </c>
      <c r="K228" s="9" t="n">
        <f aca="false">IFERROR(Rohdaten!C228*100/Rohdaten!O228,"–")</f>
        <v>24</v>
      </c>
      <c r="L228" s="8" t="n">
        <f aca="false">IFERROR(Rohdaten!C228*100/Rohdaten!P228,"–")</f>
        <v>1200</v>
      </c>
      <c r="M228" s="8" t="n">
        <f aca="false">IFERROR(Rohdaten!C228*100/Rohdaten!Q228,"–")</f>
        <v>1200</v>
      </c>
      <c r="N228" s="8" t="n">
        <f aca="false">IFERROR(Rohdaten!C228*100/Rohdaten!R228,"–")</f>
        <v>240</v>
      </c>
      <c r="O228" s="8" t="n">
        <f aca="false">IFERROR(Rohdaten!C228*100/Rohdaten!S228,"–")</f>
        <v>1200</v>
      </c>
      <c r="P228" s="9" t="n">
        <f aca="false">IFERROR(Rohdaten!C228*100/Rohdaten!T228,"–")</f>
        <v>8</v>
      </c>
      <c r="Q228" s="9" t="str">
        <f aca="false">IFERROR(Rohdaten!C228*100/Rohdaten!U228,"–")</f>
        <v>–</v>
      </c>
      <c r="R228" s="8" t="n">
        <f aca="false">IFERROR(Rohdaten!C228*100/Rohdaten!V228,"–")</f>
        <v>2</v>
      </c>
      <c r="S228" s="8" t="n">
        <f aca="false">IFERROR(Rohdaten!C228*100/Rohdaten!W228,"–")</f>
        <v>60</v>
      </c>
      <c r="T228" s="8" t="n">
        <f aca="false">IFERROR(Rohdaten!C228*100/Rohdaten!X228,"–")</f>
        <v>2.4</v>
      </c>
      <c r="U228" s="8" t="n">
        <f aca="false">IFERROR(Rohdaten!C228*100/Rohdaten!Y228,"–")</f>
        <v>120</v>
      </c>
      <c r="V228" s="8" t="n">
        <f aca="false">IFERROR(Rohdaten!C228*100/Rohdaten!Z228,"–")</f>
        <v>0.8</v>
      </c>
    </row>
    <row r="229" customFormat="false" ht="15" hidden="false" customHeight="true" outlineLevel="0" collapsed="false">
      <c r="A229" s="4" t="str">
        <f aca="false">Rohdaten!A229</f>
        <v>Ketchup</v>
      </c>
      <c r="B229" s="8" t="n">
        <f aca="false">Rohdaten!C229</f>
        <v>1</v>
      </c>
      <c r="C229" s="8" t="n">
        <f aca="false">IFERROR(Rohdaten!C229*100/Rohdaten!G229,"–")</f>
        <v>0.892857142857143</v>
      </c>
      <c r="D229" s="8" t="n">
        <f aca="false">IFERROR(Rohdaten!C229*100/(Rohdaten!H229*9),"–")</f>
        <v>55.5555555555556</v>
      </c>
      <c r="E229" s="8" t="n">
        <f aca="false">IFERROR(Rohdaten!C229*100/(Rohdaten!I229*4),"–")</f>
        <v>14.7058823529412</v>
      </c>
      <c r="F229" s="8" t="n">
        <f aca="false">IFERROR(Rohdaten!C229*100/(Rohdaten!J229*4),"–")</f>
        <v>0.961538461538462</v>
      </c>
      <c r="G229" s="9" t="n">
        <f aca="false">IFERROR(Rohdaten!C229*100/Rohdaten!K229,"–")</f>
        <v>6.66666666666667</v>
      </c>
      <c r="H229" s="8" t="n">
        <f aca="false">IFERROR(Rohdaten!C229*100/Rohdaten!L229,"–")</f>
        <v>14.2857142857143</v>
      </c>
      <c r="I229" s="9" t="str">
        <f aca="false">IFERROR(Rohdaten!C229*100/Rohdaten!M229,"–")</f>
        <v>–</v>
      </c>
      <c r="J229" s="8" t="n">
        <f aca="false">IFERROR(Rohdaten!C229*100/Rohdaten!N229,"–")</f>
        <v>200</v>
      </c>
      <c r="K229" s="9" t="n">
        <f aca="false">IFERROR(Rohdaten!C229*100/Rohdaten!O229,"–")</f>
        <v>33.3333333333333</v>
      </c>
      <c r="L229" s="8" t="n">
        <f aca="false">IFERROR(Rohdaten!C229*100/Rohdaten!P229,"–")</f>
        <v>3333.33333333333</v>
      </c>
      <c r="M229" s="8" t="n">
        <f aca="false">IFERROR(Rohdaten!C229*100/Rohdaten!Q229,"–")</f>
        <v>3333.33333333333</v>
      </c>
      <c r="N229" s="8" t="n">
        <f aca="false">IFERROR(Rohdaten!C229*100/Rohdaten!R229,"–")</f>
        <v>111.111111111111</v>
      </c>
      <c r="O229" s="8" t="n">
        <f aca="false">IFERROR(Rohdaten!C229*100/Rohdaten!S229,"–")</f>
        <v>1250</v>
      </c>
      <c r="P229" s="9" t="n">
        <f aca="false">IFERROR(Rohdaten!C229*100/Rohdaten!T229,"–")</f>
        <v>14.2857142857143</v>
      </c>
      <c r="Q229" s="9" t="str">
        <f aca="false">IFERROR(Rohdaten!C229*100/Rohdaten!U229,"–")</f>
        <v>–</v>
      </c>
      <c r="R229" s="8" t="n">
        <f aca="false">IFERROR(Rohdaten!C229*100/Rohdaten!V229,"–")</f>
        <v>6.66666666666667</v>
      </c>
      <c r="S229" s="8" t="n">
        <f aca="false">IFERROR(Rohdaten!C229*100/Rohdaten!W229,"–")</f>
        <v>200</v>
      </c>
      <c r="T229" s="8" t="n">
        <f aca="false">IFERROR(Rohdaten!C229*100/Rohdaten!X229,"–")</f>
        <v>6.66666666666667</v>
      </c>
      <c r="U229" s="8" t="n">
        <f aca="false">IFERROR(Rohdaten!C229*100/Rohdaten!Y229,"–")</f>
        <v>500</v>
      </c>
      <c r="V229" s="8" t="n">
        <f aca="false">IFERROR(Rohdaten!C229*100/Rohdaten!Z229,"–")</f>
        <v>0.333333333333333</v>
      </c>
    </row>
    <row r="230" customFormat="false" ht="15" hidden="false" customHeight="true" outlineLevel="0" collapsed="false">
      <c r="A230" s="4" t="str">
        <f aca="false">Rohdaten!A230</f>
        <v>Mayonnaise</v>
      </c>
      <c r="B230" s="8" t="n">
        <f aca="false">Rohdaten!C230</f>
        <v>3.5</v>
      </c>
      <c r="C230" s="8" t="n">
        <f aca="false">IFERROR(Rohdaten!C230*100/Rohdaten!G230,"–")</f>
        <v>0.514705882352941</v>
      </c>
      <c r="D230" s="8" t="n">
        <f aca="false">IFERROR(Rohdaten!C230*100/(Rohdaten!H230*9),"–")</f>
        <v>0.518518518518519</v>
      </c>
      <c r="E230" s="8" t="n">
        <f aca="false">IFERROR(Rohdaten!C230*100/(Rohdaten!I230*4),"–")</f>
        <v>79.5454545454545</v>
      </c>
      <c r="F230" s="8" t="n">
        <f aca="false">IFERROR(Rohdaten!C230*100/(Rohdaten!J230*4),"–")</f>
        <v>87.5</v>
      </c>
      <c r="G230" s="9" t="n">
        <f aca="false">IFERROR(Rohdaten!C230*100/Rohdaten!K230,"–")</f>
        <v>8.75</v>
      </c>
      <c r="H230" s="8" t="str">
        <f aca="false">IFERROR(Rohdaten!C230*100/Rohdaten!L230,"–")</f>
        <v>–</v>
      </c>
      <c r="I230" s="9" t="n">
        <f aca="false">IFERROR(Rohdaten!C230*100/Rohdaten!M230,"–")</f>
        <v>1166.66666666667</v>
      </c>
      <c r="J230" s="8" t="n">
        <f aca="false">IFERROR(Rohdaten!C230*100/Rohdaten!N230,"–")</f>
        <v>35</v>
      </c>
      <c r="K230" s="9" t="n">
        <f aca="false">IFERROR(Rohdaten!C230*100/Rohdaten!O230,"–")</f>
        <v>5.83333333333333</v>
      </c>
      <c r="L230" s="8" t="n">
        <f aca="false">IFERROR(Rohdaten!C230*100/Rohdaten!P230,"–")</f>
        <v>35000</v>
      </c>
      <c r="M230" s="8" t="n">
        <f aca="false">IFERROR(Rohdaten!C230*100/Rohdaten!Q230,"–")</f>
        <v>17500</v>
      </c>
      <c r="N230" s="8" t="n">
        <f aca="false">IFERROR(Rohdaten!C230*100/Rohdaten!R230,"–")</f>
        <v>3500</v>
      </c>
      <c r="O230" s="8" t="n">
        <f aca="false">IFERROR(Rohdaten!C230*100/Rohdaten!S230,"–")</f>
        <v>17500</v>
      </c>
      <c r="P230" s="9" t="n">
        <f aca="false">IFERROR(Rohdaten!C230*100/Rohdaten!T230,"–")</f>
        <v>70</v>
      </c>
      <c r="Q230" s="9" t="n">
        <f aca="false">IFERROR(Rohdaten!C230*100/Rohdaten!U230,"–")</f>
        <v>3500</v>
      </c>
      <c r="R230" s="8" t="n">
        <f aca="false">IFERROR(Rohdaten!C230*100/Rohdaten!V230,"–")</f>
        <v>35</v>
      </c>
      <c r="S230" s="8" t="n">
        <f aca="false">IFERROR(Rohdaten!C230*100/Rohdaten!W230,"–")</f>
        <v>1750</v>
      </c>
      <c r="T230" s="8" t="n">
        <f aca="false">IFERROR(Rohdaten!C230*100/Rohdaten!X230,"–")</f>
        <v>116.666666666667</v>
      </c>
      <c r="U230" s="8" t="n">
        <f aca="false">IFERROR(Rohdaten!C230*100/Rohdaten!Y230,"–")</f>
        <v>3500</v>
      </c>
      <c r="V230" s="8" t="n">
        <f aca="false">IFERROR(Rohdaten!C230*100/Rohdaten!Z230,"–")</f>
        <v>11.6666666666667</v>
      </c>
    </row>
    <row r="231" customFormat="false" ht="15" hidden="false" customHeight="true" outlineLevel="0" collapsed="false">
      <c r="A231" s="4" t="str">
        <f aca="false">Rohdaten!A231</f>
        <v>Sojasauce</v>
      </c>
      <c r="B231" s="8" t="n">
        <f aca="false">Rohdaten!C231</f>
        <v>1.5</v>
      </c>
      <c r="C231" s="8" t="n">
        <f aca="false">IFERROR(Rohdaten!C231*100/Rohdaten!G231,"–")</f>
        <v>2.5</v>
      </c>
      <c r="D231" s="8" t="n">
        <f aca="false">IFERROR(Rohdaten!C231*100/(Rohdaten!H231*9),"–")</f>
        <v>166.666666666667</v>
      </c>
      <c r="E231" s="8" t="n">
        <f aca="false">IFERROR(Rohdaten!C231*100/(Rohdaten!I231*4),"–")</f>
        <v>4.62962962962963</v>
      </c>
      <c r="F231" s="8" t="n">
        <f aca="false">IFERROR(Rohdaten!C231*100/(Rohdaten!J231*4),"–")</f>
        <v>6.25</v>
      </c>
      <c r="G231" s="9" t="str">
        <f aca="false">IFERROR(Rohdaten!C231*100/Rohdaten!K231,"–")</f>
        <v>–</v>
      </c>
      <c r="H231" s="8" t="str">
        <f aca="false">IFERROR(Rohdaten!C231*100/Rohdaten!L231,"–")</f>
        <v>–</v>
      </c>
      <c r="I231" s="9" t="str">
        <f aca="false">IFERROR(Rohdaten!C231*100/Rohdaten!M231,"–")</f>
        <v>–</v>
      </c>
      <c r="J231" s="8" t="str">
        <f aca="false">IFERROR(Rohdaten!C231*100/Rohdaten!N231,"–")</f>
        <v>–</v>
      </c>
      <c r="K231" s="9" t="str">
        <f aca="false">IFERROR(Rohdaten!C231*100/Rohdaten!O231,"–")</f>
        <v>–</v>
      </c>
      <c r="L231" s="8" t="n">
        <f aca="false">IFERROR(Rohdaten!C231*100/Rohdaten!P231,"–")</f>
        <v>7500</v>
      </c>
      <c r="M231" s="8" t="n">
        <f aca="false">IFERROR(Rohdaten!C231*100/Rohdaten!Q231,"–")</f>
        <v>1000</v>
      </c>
      <c r="N231" s="8" t="n">
        <f aca="false">IFERROR(Rohdaten!C231*100/Rohdaten!R231,"–")</f>
        <v>107.142857142857</v>
      </c>
      <c r="O231" s="8" t="n">
        <f aca="false">IFERROR(Rohdaten!C231*100/Rohdaten!S231,"–")</f>
        <v>882.352941176471</v>
      </c>
      <c r="P231" s="9" t="n">
        <f aca="false">IFERROR(Rohdaten!C231*100/Rohdaten!T231,"–")</f>
        <v>4.54545454545455</v>
      </c>
      <c r="Q231" s="9" t="str">
        <f aca="false">IFERROR(Rohdaten!C231*100/Rohdaten!U231,"–")</f>
        <v>–</v>
      </c>
      <c r="R231" s="8" t="n">
        <f aca="false">IFERROR(Rohdaten!C231*100/Rohdaten!V231,"–")</f>
        <v>7.5</v>
      </c>
      <c r="S231" s="8" t="n">
        <f aca="false">IFERROR(Rohdaten!C231*100/Rohdaten!W231,"–")</f>
        <v>62.5</v>
      </c>
      <c r="T231" s="8" t="n">
        <f aca="false">IFERROR(Rohdaten!C231*100/Rohdaten!X231,"–")</f>
        <v>3.75</v>
      </c>
      <c r="U231" s="8" t="n">
        <f aca="false">IFERROR(Rohdaten!C231*100/Rohdaten!Y231,"–")</f>
        <v>300</v>
      </c>
      <c r="V231" s="8" t="n">
        <f aca="false">IFERROR(Rohdaten!C231*100/Rohdaten!Z231,"–")</f>
        <v>0.5</v>
      </c>
    </row>
    <row r="232" customFormat="false" ht="15" hidden="false" customHeight="true" outlineLevel="0" collapsed="false">
      <c r="A232" s="4" t="str">
        <f aca="false">Rohdaten!A232</f>
        <v>Worcestersauce</v>
      </c>
      <c r="B232" s="8" t="n">
        <f aca="false">Rohdaten!C232</f>
        <v>2</v>
      </c>
      <c r="C232" s="8" t="n">
        <f aca="false">IFERROR(Rohdaten!C232*100/Rohdaten!G232,"–")</f>
        <v>2.56410256410256</v>
      </c>
      <c r="D232" s="8" t="str">
        <f aca="false">IFERROR(Rohdaten!C232*100/(Rohdaten!H232*9),"–")</f>
        <v>–</v>
      </c>
      <c r="E232" s="8" t="str">
        <f aca="false">IFERROR(Rohdaten!C232*100/(Rohdaten!I232*4),"–")</f>
        <v>–</v>
      </c>
      <c r="F232" s="8" t="n">
        <f aca="false">IFERROR(Rohdaten!C232*100/(Rohdaten!J232*4),"–")</f>
        <v>2.56410256410256</v>
      </c>
      <c r="G232" s="9" t="str">
        <f aca="false">IFERROR(Rohdaten!C232*100/Rohdaten!K232,"–")</f>
        <v>–</v>
      </c>
      <c r="H232" s="8" t="str">
        <f aca="false">IFERROR(Rohdaten!C232*100/Rohdaten!L232,"–")</f>
        <v>–</v>
      </c>
      <c r="I232" s="9" t="str">
        <f aca="false">IFERROR(Rohdaten!C232*100/Rohdaten!M232,"–")</f>
        <v>–</v>
      </c>
      <c r="J232" s="8" t="str">
        <f aca="false">IFERROR(Rohdaten!C232*100/Rohdaten!N232,"–")</f>
        <v>–</v>
      </c>
      <c r="K232" s="9" t="str">
        <f aca="false">IFERROR(Rohdaten!C232*100/Rohdaten!O232,"–")</f>
        <v>–</v>
      </c>
      <c r="L232" s="8" t="str">
        <f aca="false">IFERROR(Rohdaten!C232*100/Rohdaten!P232,"–")</f>
        <v>–</v>
      </c>
      <c r="M232" s="8" t="str">
        <f aca="false">IFERROR(Rohdaten!C232*100/Rohdaten!Q232,"–")</f>
        <v>–</v>
      </c>
      <c r="N232" s="8" t="n">
        <f aca="false">IFERROR(Rohdaten!C232*100/Rohdaten!R232,"–")</f>
        <v>2000</v>
      </c>
      <c r="O232" s="8" t="n">
        <f aca="false">IFERROR(Rohdaten!C232*100/Rohdaten!S232,"–")</f>
        <v>4000</v>
      </c>
      <c r="P232" s="9" t="str">
        <f aca="false">IFERROR(Rohdaten!C232*100/Rohdaten!T232,"–")</f>
        <v>–</v>
      </c>
      <c r="Q232" s="9" t="str">
        <f aca="false">IFERROR(Rohdaten!C232*100/Rohdaten!U232,"–")</f>
        <v>–</v>
      </c>
      <c r="R232" s="8" t="n">
        <f aca="false">IFERROR(Rohdaten!C232*100/Rohdaten!V232,"–")</f>
        <v>6.66666666666667</v>
      </c>
      <c r="S232" s="8" t="n">
        <f aca="false">IFERROR(Rohdaten!C232*100/Rohdaten!W232,"–")</f>
        <v>100</v>
      </c>
      <c r="T232" s="8" t="n">
        <f aca="false">IFERROR(Rohdaten!C232*100/Rohdaten!X232,"–")</f>
        <v>10</v>
      </c>
      <c r="U232" s="8" t="n">
        <f aca="false">IFERROR(Rohdaten!C232*100/Rohdaten!Y232,"–")</f>
        <v>1000</v>
      </c>
      <c r="V232" s="8" t="n">
        <f aca="false">IFERROR(Rohdaten!C232*100/Rohdaten!Z232,"–")</f>
        <v>0.833333333333333</v>
      </c>
    </row>
    <row r="233" customFormat="false" ht="15" hidden="false" customHeight="true" outlineLevel="0" collapsed="false">
      <c r="A233" s="4" t="str">
        <f aca="false">Rohdaten!A233</f>
        <v>Balsamico-Essig</v>
      </c>
      <c r="B233" s="8" t="n">
        <f aca="false">Rohdaten!C233</f>
        <v>1.5</v>
      </c>
      <c r="C233" s="8" t="n">
        <f aca="false">IFERROR(Rohdaten!C233*100/Rohdaten!G233,"–")</f>
        <v>1.70454545454545</v>
      </c>
      <c r="D233" s="8" t="str">
        <f aca="false">IFERROR(Rohdaten!C233*100/(Rohdaten!H233*9),"–")</f>
        <v>–</v>
      </c>
      <c r="E233" s="8" t="n">
        <f aca="false">IFERROR(Rohdaten!C233*100/(Rohdaten!I233*4),"–")</f>
        <v>75</v>
      </c>
      <c r="F233" s="8" t="n">
        <f aca="false">IFERROR(Rohdaten!C233*100/(Rohdaten!J233*4),"–")</f>
        <v>2.20588235294118</v>
      </c>
      <c r="G233" s="9" t="str">
        <f aca="false">IFERROR(Rohdaten!C233*100/Rohdaten!K233,"–")</f>
        <v>–</v>
      </c>
      <c r="H233" s="8" t="str">
        <f aca="false">IFERROR(Rohdaten!C233*100/Rohdaten!L233,"–")</f>
        <v>–</v>
      </c>
      <c r="I233" s="9" t="str">
        <f aca="false">IFERROR(Rohdaten!C233*100/Rohdaten!M233,"–")</f>
        <v>–</v>
      </c>
      <c r="J233" s="8" t="str">
        <f aca="false">IFERROR(Rohdaten!C233*100/Rohdaten!N233,"–")</f>
        <v>–</v>
      </c>
      <c r="K233" s="9" t="str">
        <f aca="false">IFERROR(Rohdaten!C233*100/Rohdaten!O233,"–")</f>
        <v>–</v>
      </c>
      <c r="L233" s="8" t="str">
        <f aca="false">IFERROR(Rohdaten!C233*100/Rohdaten!P233,"–")</f>
        <v>–</v>
      </c>
      <c r="M233" s="8" t="n">
        <f aca="false">IFERROR(Rohdaten!C233*100/Rohdaten!Q233,"–")</f>
        <v>7500</v>
      </c>
      <c r="N233" s="8" t="n">
        <f aca="false">IFERROR(Rohdaten!C233*100/Rohdaten!R233,"–")</f>
        <v>1500</v>
      </c>
      <c r="O233" s="8" t="n">
        <f aca="false">IFERROR(Rohdaten!C233*100/Rohdaten!S233,"–")</f>
        <v>1500</v>
      </c>
      <c r="P233" s="9" t="str">
        <f aca="false">IFERROR(Rohdaten!C233*100/Rohdaten!T233,"–")</f>
        <v>–</v>
      </c>
      <c r="Q233" s="9" t="str">
        <f aca="false">IFERROR(Rohdaten!C233*100/Rohdaten!U233,"–")</f>
        <v>–</v>
      </c>
      <c r="R233" s="8" t="n">
        <f aca="false">IFERROR(Rohdaten!C233*100/Rohdaten!V233,"–")</f>
        <v>5.55555555555556</v>
      </c>
      <c r="S233" s="8" t="n">
        <f aca="false">IFERROR(Rohdaten!C233*100/Rohdaten!W233,"–")</f>
        <v>214.285714285714</v>
      </c>
      <c r="T233" s="8" t="n">
        <f aca="false">IFERROR(Rohdaten!C233*100/Rohdaten!X233,"–")</f>
        <v>12.5</v>
      </c>
      <c r="U233" s="8" t="n">
        <f aca="false">IFERROR(Rohdaten!C233*100/Rohdaten!Y233,"–")</f>
        <v>1500</v>
      </c>
      <c r="V233" s="8" t="n">
        <f aca="false">IFERROR(Rohdaten!C233*100/Rohdaten!Z233,"–")</f>
        <v>1.33928571428571</v>
      </c>
    </row>
    <row r="234" customFormat="false" ht="15" hidden="false" customHeight="true" outlineLevel="0" collapsed="false">
      <c r="A234" s="4" t="str">
        <f aca="false">Rohdaten!A234</f>
        <v>Weinessig</v>
      </c>
      <c r="B234" s="8" t="n">
        <f aca="false">Rohdaten!C234</f>
        <v>0.8</v>
      </c>
      <c r="C234" s="8" t="n">
        <f aca="false">IFERROR(Rohdaten!C234*100/Rohdaten!G234,"–")</f>
        <v>4.21052631578947</v>
      </c>
      <c r="D234" s="8" t="str">
        <f aca="false">IFERROR(Rohdaten!C234*100/(Rohdaten!H234*9),"–")</f>
        <v>–</v>
      </c>
      <c r="E234" s="8" t="str">
        <f aca="false">IFERROR(Rohdaten!C234*100/(Rohdaten!I234*4),"–")</f>
        <v>–</v>
      </c>
      <c r="F234" s="8" t="n">
        <f aca="false">IFERROR(Rohdaten!C234*100/(Rohdaten!J234*4),"–")</f>
        <v>66.6666666666667</v>
      </c>
      <c r="G234" s="9" t="str">
        <f aca="false">IFERROR(Rohdaten!C234*100/Rohdaten!K234,"–")</f>
        <v>–</v>
      </c>
      <c r="H234" s="8" t="str">
        <f aca="false">IFERROR(Rohdaten!C234*100/Rohdaten!L234,"–")</f>
        <v>–</v>
      </c>
      <c r="I234" s="9" t="str">
        <f aca="false">IFERROR(Rohdaten!C234*100/Rohdaten!M234,"–")</f>
        <v>–</v>
      </c>
      <c r="J234" s="8" t="str">
        <f aca="false">IFERROR(Rohdaten!C234*100/Rohdaten!N234,"–")</f>
        <v>–</v>
      </c>
      <c r="K234" s="9" t="str">
        <f aca="false">IFERROR(Rohdaten!C234*100/Rohdaten!O234,"–")</f>
        <v>–</v>
      </c>
      <c r="L234" s="8" t="str">
        <f aca="false">IFERROR(Rohdaten!C234*100/Rohdaten!P234,"–")</f>
        <v>–</v>
      </c>
      <c r="M234" s="8" t="str">
        <f aca="false">IFERROR(Rohdaten!C234*100/Rohdaten!Q234,"–")</f>
        <v>–</v>
      </c>
      <c r="N234" s="8" t="str">
        <f aca="false">IFERROR(Rohdaten!C234*100/Rohdaten!R234,"–")</f>
        <v>–</v>
      </c>
      <c r="O234" s="8" t="str">
        <f aca="false">IFERROR(Rohdaten!C234*100/Rohdaten!S234,"–")</f>
        <v>–</v>
      </c>
      <c r="P234" s="9" t="str">
        <f aca="false">IFERROR(Rohdaten!C234*100/Rohdaten!T234,"–")</f>
        <v>–</v>
      </c>
      <c r="Q234" s="9" t="str">
        <f aca="false">IFERROR(Rohdaten!C234*100/Rohdaten!U234,"–")</f>
        <v>–</v>
      </c>
      <c r="R234" s="8" t="n">
        <f aca="false">IFERROR(Rohdaten!C234*100/Rohdaten!V234,"–")</f>
        <v>10</v>
      </c>
      <c r="S234" s="8" t="n">
        <f aca="false">IFERROR(Rohdaten!C234*100/Rohdaten!W234,"–")</f>
        <v>160</v>
      </c>
      <c r="T234" s="8" t="n">
        <f aca="false">IFERROR(Rohdaten!C234*100/Rohdaten!X234,"–")</f>
        <v>11.4285714285714</v>
      </c>
      <c r="U234" s="8" t="n">
        <f aca="false">IFERROR(Rohdaten!C234*100/Rohdaten!Y234,"–")</f>
        <v>800</v>
      </c>
      <c r="V234" s="8" t="n">
        <f aca="false">IFERROR(Rohdaten!C234*100/Rohdaten!Z234,"–")</f>
        <v>2</v>
      </c>
    </row>
    <row r="235" customFormat="false" ht="15" hidden="false" customHeight="true" outlineLevel="0" collapsed="false">
      <c r="A235" s="4" t="str">
        <f aca="false">Rohdaten!A235</f>
        <v>Apfelessig</v>
      </c>
      <c r="B235" s="8" t="n">
        <f aca="false">Rohdaten!C235</f>
        <v>0.6</v>
      </c>
      <c r="C235" s="8" t="n">
        <f aca="false">IFERROR(Rohdaten!C235*100/Rohdaten!G235,"–")</f>
        <v>2.72727272727273</v>
      </c>
      <c r="D235" s="8" t="str">
        <f aca="false">IFERROR(Rohdaten!C235*100/(Rohdaten!H235*9),"–")</f>
        <v>–</v>
      </c>
      <c r="E235" s="8" t="str">
        <f aca="false">IFERROR(Rohdaten!C235*100/(Rohdaten!I235*4),"–")</f>
        <v>–</v>
      </c>
      <c r="F235" s="8" t="n">
        <f aca="false">IFERROR(Rohdaten!C235*100/(Rohdaten!J235*4),"–")</f>
        <v>16.6666666666667</v>
      </c>
      <c r="G235" s="9" t="str">
        <f aca="false">IFERROR(Rohdaten!C235*100/Rohdaten!K235,"–")</f>
        <v>–</v>
      </c>
      <c r="H235" s="8" t="str">
        <f aca="false">IFERROR(Rohdaten!C235*100/Rohdaten!L235,"–")</f>
        <v>–</v>
      </c>
      <c r="I235" s="9" t="str">
        <f aca="false">IFERROR(Rohdaten!C235*100/Rohdaten!M235,"–")</f>
        <v>–</v>
      </c>
      <c r="J235" s="8" t="str">
        <f aca="false">IFERROR(Rohdaten!C235*100/Rohdaten!N235,"–")</f>
        <v>–</v>
      </c>
      <c r="K235" s="9" t="str">
        <f aca="false">IFERROR(Rohdaten!C235*100/Rohdaten!O235,"–")</f>
        <v>–</v>
      </c>
      <c r="L235" s="8" t="str">
        <f aca="false">IFERROR(Rohdaten!C235*100/Rohdaten!P235,"–")</f>
        <v>–</v>
      </c>
      <c r="M235" s="8" t="str">
        <f aca="false">IFERROR(Rohdaten!C235*100/Rohdaten!Q235,"–")</f>
        <v>–</v>
      </c>
      <c r="N235" s="8" t="str">
        <f aca="false">IFERROR(Rohdaten!C235*100/Rohdaten!R235,"–")</f>
        <v>–</v>
      </c>
      <c r="O235" s="8" t="str">
        <f aca="false">IFERROR(Rohdaten!C235*100/Rohdaten!S235,"–")</f>
        <v>–</v>
      </c>
      <c r="P235" s="9" t="str">
        <f aca="false">IFERROR(Rohdaten!C235*100/Rohdaten!T235,"–")</f>
        <v>–</v>
      </c>
      <c r="Q235" s="9" t="str">
        <f aca="false">IFERROR(Rohdaten!C235*100/Rohdaten!U235,"–")</f>
        <v>–</v>
      </c>
      <c r="R235" s="8" t="n">
        <f aca="false">IFERROR(Rohdaten!C235*100/Rohdaten!V235,"–")</f>
        <v>8.57142857142857</v>
      </c>
      <c r="S235" s="8" t="n">
        <f aca="false">IFERROR(Rohdaten!C235*100/Rohdaten!W235,"–")</f>
        <v>300</v>
      </c>
      <c r="T235" s="8" t="n">
        <f aca="false">IFERROR(Rohdaten!C235*100/Rohdaten!X235,"–")</f>
        <v>12</v>
      </c>
      <c r="U235" s="8" t="n">
        <f aca="false">IFERROR(Rohdaten!C235*100/Rohdaten!Y235,"–")</f>
        <v>600</v>
      </c>
      <c r="V235" s="8" t="n">
        <f aca="false">IFERROR(Rohdaten!C235*100/Rohdaten!Z235,"–")</f>
        <v>0.821917808219178</v>
      </c>
    </row>
    <row r="236" customFormat="false" ht="15" hidden="false" customHeight="true" outlineLevel="0" collapsed="false">
      <c r="A236" s="4" t="str">
        <f aca="false">Rohdaten!A236</f>
        <v>Pesto, grün (Basilikum)</v>
      </c>
      <c r="B236" s="8" t="n">
        <f aca="false">Rohdaten!C236</f>
        <v>3</v>
      </c>
      <c r="C236" s="8" t="n">
        <f aca="false">IFERROR(Rohdaten!C236*100/Rohdaten!G236,"–")</f>
        <v>0.652173913043478</v>
      </c>
      <c r="D236" s="8" t="n">
        <f aca="false">IFERROR(Rohdaten!C236*100/(Rohdaten!H236*9),"–")</f>
        <v>0.740740740740741</v>
      </c>
      <c r="E236" s="8" t="n">
        <f aca="false">IFERROR(Rohdaten!C236*100/(Rohdaten!I236*4),"–")</f>
        <v>18.75</v>
      </c>
      <c r="F236" s="8" t="n">
        <f aca="false">IFERROR(Rohdaten!C236*100/(Rohdaten!J236*4),"–")</f>
        <v>12.5</v>
      </c>
      <c r="G236" s="9" t="n">
        <f aca="false">IFERROR(Rohdaten!C236*100/Rohdaten!K236,"–")</f>
        <v>1</v>
      </c>
      <c r="H236" s="8" t="n">
        <f aca="false">IFERROR(Rohdaten!C236*100/Rohdaten!L236,"–")</f>
        <v>75</v>
      </c>
      <c r="I236" s="9" t="str">
        <f aca="false">IFERROR(Rohdaten!C236*100/Rohdaten!M236,"–")</f>
        <v>–</v>
      </c>
      <c r="J236" s="8" t="n">
        <f aca="false">IFERROR(Rohdaten!C236*100/Rohdaten!N236,"–")</f>
        <v>100</v>
      </c>
      <c r="K236" s="9" t="n">
        <f aca="false">IFERROR(Rohdaten!C236*100/Rohdaten!O236,"–")</f>
        <v>3.75</v>
      </c>
      <c r="L236" s="8" t="n">
        <f aca="false">IFERROR(Rohdaten!C236*100/Rohdaten!P236,"–")</f>
        <v>6000</v>
      </c>
      <c r="M236" s="8" t="n">
        <f aca="false">IFERROR(Rohdaten!C236*100/Rohdaten!Q236,"–")</f>
        <v>3000</v>
      </c>
      <c r="N236" s="8" t="n">
        <f aca="false">IFERROR(Rohdaten!C236*100/Rohdaten!R236,"–")</f>
        <v>300</v>
      </c>
      <c r="O236" s="8" t="n">
        <f aca="false">IFERROR(Rohdaten!C236*100/Rohdaten!S236,"–")</f>
        <v>3000</v>
      </c>
      <c r="P236" s="9" t="n">
        <f aca="false">IFERROR(Rohdaten!C236*100/Rohdaten!T236,"–")</f>
        <v>10</v>
      </c>
      <c r="Q236" s="9" t="n">
        <f aca="false">IFERROR(Rohdaten!C236*100/Rohdaten!U236,"–")</f>
        <v>3000</v>
      </c>
      <c r="R236" s="8" t="n">
        <f aca="false">IFERROR(Rohdaten!C236*100/Rohdaten!V236,"–")</f>
        <v>1.5</v>
      </c>
      <c r="S236" s="8" t="n">
        <f aca="false">IFERROR(Rohdaten!C236*100/Rohdaten!W236,"–")</f>
        <v>200</v>
      </c>
      <c r="T236" s="8" t="n">
        <f aca="false">IFERROR(Rohdaten!C236*100/Rohdaten!X236,"–")</f>
        <v>7.5</v>
      </c>
      <c r="U236" s="8" t="n">
        <f aca="false">IFERROR(Rohdaten!C236*100/Rohdaten!Y236,"–")</f>
        <v>375</v>
      </c>
      <c r="V236" s="8" t="n">
        <f aca="false">IFERROR(Rohdaten!C236*100/Rohdaten!Z236,"–")</f>
        <v>1.5</v>
      </c>
    </row>
    <row r="237" customFormat="false" ht="15" hidden="false" customHeight="true" outlineLevel="0" collapsed="false">
      <c r="A237" s="4" t="str">
        <f aca="false">Rohdaten!A237</f>
        <v>Tahini (Sesampaste)</v>
      </c>
      <c r="B237" s="8" t="n">
        <f aca="false">Rohdaten!C237</f>
        <v>2.5</v>
      </c>
      <c r="C237" s="8" t="n">
        <f aca="false">IFERROR(Rohdaten!C237*100/Rohdaten!G237,"–")</f>
        <v>0.420168067226891</v>
      </c>
      <c r="D237" s="8" t="n">
        <f aca="false">IFERROR(Rohdaten!C237*100/(Rohdaten!H237*9),"–")</f>
        <v>0.51440329218107</v>
      </c>
      <c r="E237" s="8" t="n">
        <f aca="false">IFERROR(Rohdaten!C237*100/(Rohdaten!I237*4),"–")</f>
        <v>3.67647058823529</v>
      </c>
      <c r="F237" s="8" t="n">
        <f aca="false">IFERROR(Rohdaten!C237*100/(Rohdaten!J237*4),"–")</f>
        <v>2.97619047619048</v>
      </c>
      <c r="G237" s="9" t="str">
        <f aca="false">IFERROR(Rohdaten!C237*100/Rohdaten!K237,"–")</f>
        <v>–</v>
      </c>
      <c r="H237" s="8" t="str">
        <f aca="false">IFERROR(Rohdaten!C237*100/Rohdaten!L237,"–")</f>
        <v>–</v>
      </c>
      <c r="I237" s="9" t="str">
        <f aca="false">IFERROR(Rohdaten!C237*100/Rohdaten!M237,"–")</f>
        <v>–</v>
      </c>
      <c r="J237" s="8" t="str">
        <f aca="false">IFERROR(Rohdaten!C237*100/Rohdaten!N237,"–")</f>
        <v>–</v>
      </c>
      <c r="K237" s="9" t="str">
        <f aca="false">IFERROR(Rohdaten!C237*100/Rohdaten!O237,"–")</f>
        <v>–</v>
      </c>
      <c r="L237" s="8" t="n">
        <f aca="false">IFERROR(Rohdaten!C237*100/Rohdaten!P237,"–")</f>
        <v>263.157894736842</v>
      </c>
      <c r="M237" s="8" t="n">
        <f aca="false">IFERROR(Rohdaten!C237*100/Rohdaten!Q237,"–")</f>
        <v>531.914893617021</v>
      </c>
      <c r="N237" s="8" t="n">
        <f aca="false">IFERROR(Rohdaten!C237*100/Rohdaten!R237,"–")</f>
        <v>55.5555555555556</v>
      </c>
      <c r="O237" s="8" t="n">
        <f aca="false">IFERROR(Rohdaten!C237*100/Rohdaten!S237,"–")</f>
        <v>1666.66666666667</v>
      </c>
      <c r="P237" s="9" t="n">
        <f aca="false">IFERROR(Rohdaten!C237*100/Rohdaten!T237,"–")</f>
        <v>2.55102040816327</v>
      </c>
      <c r="Q237" s="9" t="str">
        <f aca="false">IFERROR(Rohdaten!C237*100/Rohdaten!U237,"–")</f>
        <v>–</v>
      </c>
      <c r="R237" s="8" t="n">
        <f aca="false">IFERROR(Rohdaten!C237*100/Rohdaten!V237,"–")</f>
        <v>0.586854460093897</v>
      </c>
      <c r="S237" s="8" t="n">
        <f aca="false">IFERROR(Rohdaten!C237*100/Rohdaten!W237,"–")</f>
        <v>28.0898876404494</v>
      </c>
      <c r="T237" s="8" t="n">
        <f aca="false">IFERROR(Rohdaten!C237*100/Rohdaten!X237,"–")</f>
        <v>2.63157894736842</v>
      </c>
      <c r="U237" s="8" t="n">
        <f aca="false">IFERROR(Rohdaten!C237*100/Rohdaten!Y237,"–")</f>
        <v>54.3478260869565</v>
      </c>
      <c r="V237" s="8" t="n">
        <f aca="false">IFERROR(Rohdaten!C237*100/Rohdaten!Z237,"–")</f>
        <v>0.603864734299517</v>
      </c>
    </row>
    <row r="238" customFormat="false" ht="15" hidden="false" customHeight="true" outlineLevel="0" collapsed="false">
      <c r="A238" s="4" t="str">
        <f aca="false">Rohdaten!A238</f>
        <v>Hummus</v>
      </c>
      <c r="B238" s="8" t="n">
        <f aca="false">Rohdaten!C238</f>
        <v>1.5</v>
      </c>
      <c r="C238" s="8" t="n">
        <f aca="false">IFERROR(Rohdaten!C238*100/Rohdaten!G238,"–")</f>
        <v>0.903614457831325</v>
      </c>
      <c r="D238" s="8" t="n">
        <f aca="false">IFERROR(Rohdaten!C238*100/(Rohdaten!H238*9),"–")</f>
        <v>1.73611111111111</v>
      </c>
      <c r="E238" s="8" t="n">
        <f aca="false">IFERROR(Rohdaten!C238*100/(Rohdaten!I238*4),"–")</f>
        <v>4.74683544303797</v>
      </c>
      <c r="F238" s="8" t="n">
        <f aca="false">IFERROR(Rohdaten!C238*100/(Rohdaten!J238*4),"–")</f>
        <v>2.67857142857143</v>
      </c>
      <c r="G238" s="9" t="n">
        <f aca="false">IFERROR(Rohdaten!C238*100/Rohdaten!K238,"–")</f>
        <v>150</v>
      </c>
      <c r="H238" s="8" t="n">
        <f aca="false">IFERROR(Rohdaten!C238*100/Rohdaten!L238,"–")</f>
        <v>100</v>
      </c>
      <c r="I238" s="9" t="str">
        <f aca="false">IFERROR(Rohdaten!C238*100/Rohdaten!M238,"–")</f>
        <v>–</v>
      </c>
      <c r="J238" s="8" t="n">
        <f aca="false">IFERROR(Rohdaten!C238*100/Rohdaten!N238,"–")</f>
        <v>300</v>
      </c>
      <c r="K238" s="9" t="n">
        <f aca="false">IFERROR(Rohdaten!C238*100/Rohdaten!O238,"–")</f>
        <v>37.5</v>
      </c>
      <c r="L238" s="8" t="n">
        <f aca="false">IFERROR(Rohdaten!C238*100/Rohdaten!P238,"–")</f>
        <v>1500</v>
      </c>
      <c r="M238" s="8" t="n">
        <f aca="false">IFERROR(Rohdaten!C238*100/Rohdaten!Q238,"–")</f>
        <v>2500</v>
      </c>
      <c r="N238" s="8" t="n">
        <f aca="false">IFERROR(Rohdaten!C238*100/Rohdaten!R238,"–")</f>
        <v>300</v>
      </c>
      <c r="O238" s="8" t="n">
        <f aca="false">IFERROR(Rohdaten!C238*100/Rohdaten!S238,"–")</f>
        <v>1071.42857142857</v>
      </c>
      <c r="P238" s="9" t="n">
        <f aca="false">IFERROR(Rohdaten!C238*100/Rohdaten!T238,"–")</f>
        <v>2.58620689655172</v>
      </c>
      <c r="Q238" s="9" t="str">
        <f aca="false">IFERROR(Rohdaten!C238*100/Rohdaten!U238,"–")</f>
        <v>–</v>
      </c>
      <c r="R238" s="8" t="n">
        <f aca="false">IFERROR(Rohdaten!C238*100/Rohdaten!V238,"–")</f>
        <v>3.84615384615385</v>
      </c>
      <c r="S238" s="8" t="n">
        <f aca="false">IFERROR(Rohdaten!C238*100/Rohdaten!W238,"–")</f>
        <v>93.75</v>
      </c>
      <c r="T238" s="8" t="n">
        <f aca="false">IFERROR(Rohdaten!C238*100/Rohdaten!X238,"–")</f>
        <v>3.94736842105263</v>
      </c>
      <c r="U238" s="8" t="n">
        <f aca="false">IFERROR(Rohdaten!C238*100/Rohdaten!Y238,"–")</f>
        <v>125</v>
      </c>
      <c r="V238" s="8" t="n">
        <f aca="false">IFERROR(Rohdaten!C238*100/Rohdaten!Z238,"–")</f>
        <v>0.867052023121387</v>
      </c>
    </row>
    <row r="239" customFormat="false" ht="15" hidden="false" customHeight="true" outlineLevel="0" collapsed="false">
      <c r="A239" s="4" t="str">
        <f aca="false">Rohdaten!A239</f>
        <v>Guacamole</v>
      </c>
      <c r="B239" s="8" t="n">
        <f aca="false">Rohdaten!C239</f>
        <v>1</v>
      </c>
      <c r="C239" s="8" t="n">
        <f aca="false">IFERROR(Rohdaten!C239*100/Rohdaten!G239,"–")</f>
        <v>0.666666666666667</v>
      </c>
      <c r="D239" s="8" t="n">
        <f aca="false">IFERROR(Rohdaten!C239*100/(Rohdaten!H239*9),"–")</f>
        <v>0.854700854700855</v>
      </c>
      <c r="E239" s="8" t="n">
        <f aca="false">IFERROR(Rohdaten!C239*100/(Rohdaten!I239*4),"–")</f>
        <v>12.5</v>
      </c>
      <c r="F239" s="8" t="n">
        <f aca="false">IFERROR(Rohdaten!C239*100/(Rohdaten!J239*4),"–")</f>
        <v>2.94117647058824</v>
      </c>
      <c r="G239" s="9" t="n">
        <f aca="false">IFERROR(Rohdaten!C239*100/Rohdaten!K239,"–")</f>
        <v>3.33333333333333</v>
      </c>
      <c r="H239" s="8" t="n">
        <f aca="false">IFERROR(Rohdaten!C239*100/Rohdaten!L239,"–")</f>
        <v>10</v>
      </c>
      <c r="I239" s="9" t="str">
        <f aca="false">IFERROR(Rohdaten!C239*100/Rohdaten!M239,"–")</f>
        <v>–</v>
      </c>
      <c r="J239" s="8" t="n">
        <f aca="false">IFERROR(Rohdaten!C239*100/Rohdaten!N239,"–")</f>
        <v>50</v>
      </c>
      <c r="K239" s="9" t="n">
        <f aca="false">IFERROR(Rohdaten!C239*100/Rohdaten!O239,"–")</f>
        <v>5</v>
      </c>
      <c r="L239" s="8" t="n">
        <f aca="false">IFERROR(Rohdaten!C239*100/Rohdaten!P239,"–")</f>
        <v>1666.66666666667</v>
      </c>
      <c r="M239" s="8" t="n">
        <f aca="false">IFERROR(Rohdaten!C239*100/Rohdaten!Q239,"–")</f>
        <v>1000</v>
      </c>
      <c r="N239" s="8" t="n">
        <f aca="false">IFERROR(Rohdaten!C239*100/Rohdaten!R239,"–")</f>
        <v>66.6666666666667</v>
      </c>
      <c r="O239" s="8" t="n">
        <f aca="false">IFERROR(Rohdaten!C239*100/Rohdaten!S239,"–")</f>
        <v>500</v>
      </c>
      <c r="P239" s="9" t="n">
        <f aca="false">IFERROR(Rohdaten!C239*100/Rohdaten!T239,"–")</f>
        <v>1.66666666666667</v>
      </c>
      <c r="Q239" s="9" t="str">
        <f aca="false">IFERROR(Rohdaten!C239*100/Rohdaten!U239,"–")</f>
        <v>–</v>
      </c>
      <c r="R239" s="8" t="n">
        <f aca="false">IFERROR(Rohdaten!C239*100/Rohdaten!V239,"–")</f>
        <v>8.33333333333333</v>
      </c>
      <c r="S239" s="8" t="n">
        <f aca="false">IFERROR(Rohdaten!C239*100/Rohdaten!W239,"–")</f>
        <v>200</v>
      </c>
      <c r="T239" s="8" t="n">
        <f aca="false">IFERROR(Rohdaten!C239*100/Rohdaten!X239,"–")</f>
        <v>4</v>
      </c>
      <c r="U239" s="8" t="n">
        <f aca="false">IFERROR(Rohdaten!C239*100/Rohdaten!Y239,"–")</f>
        <v>200</v>
      </c>
      <c r="V239" s="8" t="n">
        <f aca="false">IFERROR(Rohdaten!C239*100/Rohdaten!Z239,"–")</f>
        <v>0.25</v>
      </c>
    </row>
    <row r="240" customFormat="false" ht="15" hidden="false" customHeight="true" outlineLevel="0" collapsed="false">
      <c r="A240" s="4" t="str">
        <f aca="false">Rohdaten!A240</f>
        <v>Salsa (Tomatensalsa)</v>
      </c>
      <c r="B240" s="8" t="n">
        <f aca="false">Rohdaten!C240</f>
        <v>0.9</v>
      </c>
      <c r="C240" s="8" t="n">
        <f aca="false">IFERROR(Rohdaten!C240*100/Rohdaten!G240,"–")</f>
        <v>2.5</v>
      </c>
      <c r="D240" s="8" t="n">
        <f aca="false">IFERROR(Rohdaten!C240*100/(Rohdaten!H240*9),"–")</f>
        <v>50</v>
      </c>
      <c r="E240" s="8" t="n">
        <f aca="false">IFERROR(Rohdaten!C240*100/(Rohdaten!I240*4),"–")</f>
        <v>15</v>
      </c>
      <c r="F240" s="8" t="n">
        <f aca="false">IFERROR(Rohdaten!C240*100/(Rohdaten!J240*4),"–")</f>
        <v>2.8125</v>
      </c>
      <c r="G240" s="9" t="n">
        <f aca="false">IFERROR(Rohdaten!C240*100/Rohdaten!K240,"–")</f>
        <v>2.25</v>
      </c>
      <c r="H240" s="8" t="n">
        <f aca="false">IFERROR(Rohdaten!C240*100/Rohdaten!L240,"–")</f>
        <v>6</v>
      </c>
      <c r="I240" s="9" t="str">
        <f aca="false">IFERROR(Rohdaten!C240*100/Rohdaten!M240,"–")</f>
        <v>–</v>
      </c>
      <c r="J240" s="8" t="n">
        <f aca="false">IFERROR(Rohdaten!C240*100/Rohdaten!N240,"–")</f>
        <v>180</v>
      </c>
      <c r="K240" s="9" t="n">
        <f aca="false">IFERROR(Rohdaten!C240*100/Rohdaten!O240,"–")</f>
        <v>9</v>
      </c>
      <c r="L240" s="8" t="n">
        <f aca="false">IFERROR(Rohdaten!C240*100/Rohdaten!P240,"–")</f>
        <v>2250</v>
      </c>
      <c r="M240" s="8" t="n">
        <f aca="false">IFERROR(Rohdaten!C240*100/Rohdaten!Q240,"–")</f>
        <v>3000</v>
      </c>
      <c r="N240" s="8" t="n">
        <f aca="false">IFERROR(Rohdaten!C240*100/Rohdaten!R240,"–")</f>
        <v>150</v>
      </c>
      <c r="O240" s="8" t="n">
        <f aca="false">IFERROR(Rohdaten!C240*100/Rohdaten!S240,"–")</f>
        <v>900</v>
      </c>
      <c r="P240" s="9" t="n">
        <f aca="false">IFERROR(Rohdaten!C240*100/Rohdaten!T240,"–")</f>
        <v>6</v>
      </c>
      <c r="Q240" s="9" t="str">
        <f aca="false">IFERROR(Rohdaten!C240*100/Rohdaten!U240,"–")</f>
        <v>–</v>
      </c>
      <c r="R240" s="8" t="n">
        <f aca="false">IFERROR(Rohdaten!C240*100/Rohdaten!V240,"–")</f>
        <v>7.5</v>
      </c>
      <c r="S240" s="8" t="n">
        <f aca="false">IFERROR(Rohdaten!C240*100/Rohdaten!W240,"–")</f>
        <v>225</v>
      </c>
      <c r="T240" s="8" t="n">
        <f aca="false">IFERROR(Rohdaten!C240*100/Rohdaten!X240,"–")</f>
        <v>7.5</v>
      </c>
      <c r="U240" s="8" t="n">
        <f aca="false">IFERROR(Rohdaten!C240*100/Rohdaten!Y240,"–")</f>
        <v>450</v>
      </c>
      <c r="V240" s="8" t="n">
        <f aca="false">IFERROR(Rohdaten!C240*100/Rohdaten!Z240,"–")</f>
        <v>0.346153846153846</v>
      </c>
    </row>
    <row r="241" customFormat="false" ht="15" hidden="false" customHeight="true" outlineLevel="0" collapsed="false">
      <c r="A241" s="4" t="str">
        <f aca="false">Rohdaten!A241</f>
        <v>Sambal Oelek</v>
      </c>
      <c r="B241" s="8" t="n">
        <f aca="false">Rohdaten!C241</f>
        <v>1.5</v>
      </c>
      <c r="C241" s="8" t="n">
        <f aca="false">IFERROR(Rohdaten!C241*100/Rohdaten!G241,"–")</f>
        <v>5</v>
      </c>
      <c r="D241" s="8" t="n">
        <f aca="false">IFERROR(Rohdaten!C241*100/(Rohdaten!H241*9),"–")</f>
        <v>55.5555555555556</v>
      </c>
      <c r="E241" s="8" t="n">
        <f aca="false">IFERROR(Rohdaten!C241*100/(Rohdaten!I241*4),"–")</f>
        <v>31.25</v>
      </c>
      <c r="F241" s="8" t="n">
        <f aca="false">IFERROR(Rohdaten!C241*100/(Rohdaten!J241*4),"–")</f>
        <v>6.25</v>
      </c>
      <c r="G241" s="9" t="n">
        <f aca="false">IFERROR(Rohdaten!C241*100/Rohdaten!K241,"–")</f>
        <v>1.5</v>
      </c>
      <c r="H241" s="8" t="n">
        <f aca="false">IFERROR(Rohdaten!C241*100/Rohdaten!L241,"–")</f>
        <v>3</v>
      </c>
      <c r="I241" s="9" t="str">
        <f aca="false">IFERROR(Rohdaten!C241*100/Rohdaten!M241,"–")</f>
        <v>–</v>
      </c>
      <c r="J241" s="8" t="n">
        <f aca="false">IFERROR(Rohdaten!C241*100/Rohdaten!N241,"–")</f>
        <v>300</v>
      </c>
      <c r="K241" s="9" t="n">
        <f aca="false">IFERROR(Rohdaten!C241*100/Rohdaten!O241,"–")</f>
        <v>30</v>
      </c>
      <c r="L241" s="8" t="n">
        <f aca="false">IFERROR(Rohdaten!C241*100/Rohdaten!P241,"–")</f>
        <v>5000</v>
      </c>
      <c r="M241" s="8" t="n">
        <f aca="false">IFERROR(Rohdaten!C241*100/Rohdaten!Q241,"–")</f>
        <v>5000</v>
      </c>
      <c r="N241" s="8" t="n">
        <f aca="false">IFERROR(Rohdaten!C241*100/Rohdaten!R241,"–")</f>
        <v>300</v>
      </c>
      <c r="O241" s="8" t="n">
        <f aca="false">IFERROR(Rohdaten!C241*100/Rohdaten!S241,"–")</f>
        <v>1000</v>
      </c>
      <c r="P241" s="9" t="n">
        <f aca="false">IFERROR(Rohdaten!C241*100/Rohdaten!T241,"–")</f>
        <v>15</v>
      </c>
      <c r="Q241" s="9" t="str">
        <f aca="false">IFERROR(Rohdaten!C241*100/Rohdaten!U241,"–")</f>
        <v>–</v>
      </c>
      <c r="R241" s="8" t="n">
        <f aca="false">IFERROR(Rohdaten!C241*100/Rohdaten!V241,"–")</f>
        <v>10</v>
      </c>
      <c r="S241" s="8" t="n">
        <f aca="false">IFERROR(Rohdaten!C241*100/Rohdaten!W241,"–")</f>
        <v>375</v>
      </c>
      <c r="T241" s="8" t="n">
        <f aca="false">IFERROR(Rohdaten!C241*100/Rohdaten!X241,"–")</f>
        <v>10</v>
      </c>
      <c r="U241" s="8" t="n">
        <f aca="false">IFERROR(Rohdaten!C241*100/Rohdaten!Y241,"–")</f>
        <v>750</v>
      </c>
      <c r="V241" s="8" t="n">
        <f aca="false">IFERROR(Rohdaten!C241*100/Rohdaten!Z241,"–")</f>
        <v>0.681818181818182</v>
      </c>
    </row>
    <row r="242" customFormat="false" ht="15" hidden="false" customHeight="true" outlineLevel="0" collapsed="false">
      <c r="A242" s="4" t="str">
        <f aca="false">Rohdaten!A242</f>
        <v>Fischsauce</v>
      </c>
      <c r="B242" s="8" t="n">
        <f aca="false">Rohdaten!C242</f>
        <v>3</v>
      </c>
      <c r="C242" s="8" t="n">
        <f aca="false">IFERROR(Rohdaten!C242*100/Rohdaten!G242,"–")</f>
        <v>8.57142857142857</v>
      </c>
      <c r="D242" s="8" t="str">
        <f aca="false">IFERROR(Rohdaten!C242*100/(Rohdaten!H242*9),"–")</f>
        <v>–</v>
      </c>
      <c r="E242" s="8" t="n">
        <f aca="false">IFERROR(Rohdaten!C242*100/(Rohdaten!I242*4),"–")</f>
        <v>15</v>
      </c>
      <c r="F242" s="8" t="n">
        <f aca="false">IFERROR(Rohdaten!C242*100/(Rohdaten!J242*4),"–")</f>
        <v>21.4285714285714</v>
      </c>
      <c r="G242" s="9" t="str">
        <f aca="false">IFERROR(Rohdaten!C242*100/Rohdaten!K242,"–")</f>
        <v>–</v>
      </c>
      <c r="H242" s="8" t="str">
        <f aca="false">IFERROR(Rohdaten!C242*100/Rohdaten!L242,"–")</f>
        <v>–</v>
      </c>
      <c r="I242" s="9" t="str">
        <f aca="false">IFERROR(Rohdaten!C242*100/Rohdaten!M242,"–")</f>
        <v>–</v>
      </c>
      <c r="J242" s="8" t="str">
        <f aca="false">IFERROR(Rohdaten!C242*100/Rohdaten!N242,"–")</f>
        <v>–</v>
      </c>
      <c r="K242" s="9" t="str">
        <f aca="false">IFERROR(Rohdaten!C242*100/Rohdaten!O242,"–")</f>
        <v>–</v>
      </c>
      <c r="L242" s="8" t="str">
        <f aca="false">IFERROR(Rohdaten!C242*100/Rohdaten!P242,"–")</f>
        <v>–</v>
      </c>
      <c r="M242" s="8" t="n">
        <f aca="false">IFERROR(Rohdaten!C242*100/Rohdaten!Q242,"–")</f>
        <v>6000</v>
      </c>
      <c r="N242" s="8" t="n">
        <f aca="false">IFERROR(Rohdaten!C242*100/Rohdaten!R242,"–")</f>
        <v>100</v>
      </c>
      <c r="O242" s="8" t="n">
        <f aca="false">IFERROR(Rohdaten!C242*100/Rohdaten!S242,"–")</f>
        <v>3000</v>
      </c>
      <c r="P242" s="9" t="str">
        <f aca="false">IFERROR(Rohdaten!C242*100/Rohdaten!T242,"–")</f>
        <v>–</v>
      </c>
      <c r="Q242" s="9" t="n">
        <f aca="false">IFERROR(Rohdaten!C242*100/Rohdaten!U242,"–")</f>
        <v>600</v>
      </c>
      <c r="R242" s="8" t="n">
        <f aca="false">IFERROR(Rohdaten!C242*100/Rohdaten!V242,"–")</f>
        <v>6.97674418604651</v>
      </c>
      <c r="S242" s="8" t="n">
        <f aca="false">IFERROR(Rohdaten!C242*100/Rohdaten!W242,"–")</f>
        <v>250</v>
      </c>
      <c r="T242" s="8" t="n">
        <f aca="false">IFERROR(Rohdaten!C242*100/Rohdaten!X242,"–")</f>
        <v>6</v>
      </c>
      <c r="U242" s="8" t="n">
        <f aca="false">IFERROR(Rohdaten!C242*100/Rohdaten!Y242,"–")</f>
        <v>1500</v>
      </c>
      <c r="V242" s="8" t="n">
        <f aca="false">IFERROR(Rohdaten!C242*100/Rohdaten!Z242,"–")</f>
        <v>1</v>
      </c>
    </row>
    <row r="243" customFormat="false" ht="15" hidden="false" customHeight="true" outlineLevel="0" collapsed="false">
      <c r="A243" s="4" t="str">
        <f aca="false">Rohdaten!A243</f>
        <v>Sriracha-Sauce</v>
      </c>
      <c r="B243" s="8" t="n">
        <f aca="false">Rohdaten!C243</f>
        <v>1.5</v>
      </c>
      <c r="C243" s="8" t="n">
        <f aca="false">IFERROR(Rohdaten!C243*100/Rohdaten!G243,"–")</f>
        <v>1.61290322580645</v>
      </c>
      <c r="D243" s="8" t="n">
        <f aca="false">IFERROR(Rohdaten!C243*100/(Rohdaten!H243*9),"–")</f>
        <v>18.5185185185185</v>
      </c>
      <c r="E243" s="8" t="n">
        <f aca="false">IFERROR(Rohdaten!C243*100/(Rohdaten!I243*4),"–")</f>
        <v>18.75</v>
      </c>
      <c r="F243" s="8" t="n">
        <f aca="false">IFERROR(Rohdaten!C243*100/(Rohdaten!J243*4),"–")</f>
        <v>1.97368421052632</v>
      </c>
      <c r="G243" s="9" t="n">
        <f aca="false">IFERROR(Rohdaten!C243*100/Rohdaten!K243,"–")</f>
        <v>0.75</v>
      </c>
      <c r="H243" s="8" t="n">
        <f aca="false">IFERROR(Rohdaten!C243*100/Rohdaten!L243,"–")</f>
        <v>7.5</v>
      </c>
      <c r="I243" s="9" t="str">
        <f aca="false">IFERROR(Rohdaten!C243*100/Rohdaten!M243,"–")</f>
        <v>–</v>
      </c>
      <c r="J243" s="8" t="n">
        <f aca="false">IFERROR(Rohdaten!C243*100/Rohdaten!N243,"–")</f>
        <v>300</v>
      </c>
      <c r="K243" s="9" t="n">
        <f aca="false">IFERROR(Rohdaten!C243*100/Rohdaten!O243,"–")</f>
        <v>15</v>
      </c>
      <c r="L243" s="8" t="n">
        <f aca="false">IFERROR(Rohdaten!C243*100/Rohdaten!P243,"–")</f>
        <v>5000</v>
      </c>
      <c r="M243" s="8" t="n">
        <f aca="false">IFERROR(Rohdaten!C243*100/Rohdaten!Q243,"–")</f>
        <v>3000</v>
      </c>
      <c r="N243" s="8" t="n">
        <f aca="false">IFERROR(Rohdaten!C243*100/Rohdaten!R243,"–")</f>
        <v>187.5</v>
      </c>
      <c r="O243" s="8" t="n">
        <f aca="false">IFERROR(Rohdaten!C243*100/Rohdaten!S243,"–")</f>
        <v>750</v>
      </c>
      <c r="P243" s="9" t="n">
        <f aca="false">IFERROR(Rohdaten!C243*100/Rohdaten!T243,"–")</f>
        <v>15</v>
      </c>
      <c r="Q243" s="9" t="str">
        <f aca="false">IFERROR(Rohdaten!C243*100/Rohdaten!U243,"–")</f>
        <v>–</v>
      </c>
      <c r="R243" s="8" t="n">
        <f aca="false">IFERROR(Rohdaten!C243*100/Rohdaten!V243,"–")</f>
        <v>10</v>
      </c>
      <c r="S243" s="8" t="n">
        <f aca="false">IFERROR(Rohdaten!C243*100/Rohdaten!W243,"–")</f>
        <v>300</v>
      </c>
      <c r="T243" s="8" t="n">
        <f aca="false">IFERROR(Rohdaten!C243*100/Rohdaten!X243,"–")</f>
        <v>10</v>
      </c>
      <c r="U243" s="8" t="n">
        <f aca="false">IFERROR(Rohdaten!C243*100/Rohdaten!Y243,"–")</f>
        <v>750</v>
      </c>
      <c r="V243" s="8" t="n">
        <f aca="false">IFERROR(Rohdaten!C243*100/Rohdaten!Z243,"–")</f>
        <v>0.681818181818182</v>
      </c>
    </row>
    <row r="244" customFormat="false" ht="15" hidden="false" customHeight="true" outlineLevel="0" collapsed="false">
      <c r="A244" s="4" t="str">
        <f aca="false">Rohdaten!A244</f>
        <v>BBQ-Sauce</v>
      </c>
      <c r="B244" s="8" t="n">
        <f aca="false">Rohdaten!C244</f>
        <v>1.2</v>
      </c>
      <c r="C244" s="8" t="n">
        <f aca="false">IFERROR(Rohdaten!C244*100/Rohdaten!G244,"–")</f>
        <v>0.697674418604651</v>
      </c>
      <c r="D244" s="8" t="n">
        <f aca="false">IFERROR(Rohdaten!C244*100/(Rohdaten!H244*9),"–")</f>
        <v>26.6666666666667</v>
      </c>
      <c r="E244" s="8" t="n">
        <f aca="false">IFERROR(Rohdaten!C244*100/(Rohdaten!I244*4),"–")</f>
        <v>30</v>
      </c>
      <c r="F244" s="8" t="n">
        <f aca="false">IFERROR(Rohdaten!C244*100/(Rohdaten!J244*4),"–")</f>
        <v>0.75</v>
      </c>
      <c r="G244" s="9" t="n">
        <f aca="false">IFERROR(Rohdaten!C244*100/Rohdaten!K244,"–")</f>
        <v>6</v>
      </c>
      <c r="H244" s="8" t="n">
        <f aca="false">IFERROR(Rohdaten!C244*100/Rohdaten!L244,"–")</f>
        <v>24</v>
      </c>
      <c r="I244" s="9" t="str">
        <f aca="false">IFERROR(Rohdaten!C244*100/Rohdaten!M244,"–")</f>
        <v>–</v>
      </c>
      <c r="J244" s="8" t="n">
        <f aca="false">IFERROR(Rohdaten!C244*100/Rohdaten!N244,"–")</f>
        <v>240</v>
      </c>
      <c r="K244" s="9" t="n">
        <f aca="false">IFERROR(Rohdaten!C244*100/Rohdaten!O244,"–")</f>
        <v>24</v>
      </c>
      <c r="L244" s="8" t="n">
        <f aca="false">IFERROR(Rohdaten!C244*100/Rohdaten!P244,"–")</f>
        <v>4000</v>
      </c>
      <c r="M244" s="8" t="n">
        <f aca="false">IFERROR(Rohdaten!C244*100/Rohdaten!Q244,"–")</f>
        <v>2400</v>
      </c>
      <c r="N244" s="8" t="n">
        <f aca="false">IFERROR(Rohdaten!C244*100/Rohdaten!R244,"–")</f>
        <v>150</v>
      </c>
      <c r="O244" s="8" t="n">
        <f aca="false">IFERROR(Rohdaten!C244*100/Rohdaten!S244,"–")</f>
        <v>1200</v>
      </c>
      <c r="P244" s="9" t="n">
        <f aca="false">IFERROR(Rohdaten!C244*100/Rohdaten!T244,"–")</f>
        <v>15</v>
      </c>
      <c r="Q244" s="9" t="str">
        <f aca="false">IFERROR(Rohdaten!C244*100/Rohdaten!U244,"–")</f>
        <v>–</v>
      </c>
      <c r="R244" s="8" t="n">
        <f aca="false">IFERROR(Rohdaten!C244*100/Rohdaten!V244,"–")</f>
        <v>6</v>
      </c>
      <c r="S244" s="8" t="n">
        <f aca="false">IFERROR(Rohdaten!C244*100/Rohdaten!W244,"–")</f>
        <v>200</v>
      </c>
      <c r="T244" s="8" t="n">
        <f aca="false">IFERROR(Rohdaten!C244*100/Rohdaten!X244,"–")</f>
        <v>8</v>
      </c>
      <c r="U244" s="8" t="n">
        <f aca="false">IFERROR(Rohdaten!C244*100/Rohdaten!Y244,"–")</f>
        <v>600</v>
      </c>
      <c r="V244" s="8" t="n">
        <f aca="false">IFERROR(Rohdaten!C244*100/Rohdaten!Z244,"–")</f>
        <v>0.6</v>
      </c>
    </row>
    <row r="245" customFormat="false" ht="15" hidden="false" customHeight="true" outlineLevel="0" collapsed="false">
      <c r="A245" s="4" t="str">
        <f aca="false">Rohdaten!A245</f>
        <v>Tzatziki</v>
      </c>
      <c r="B245" s="8" t="n">
        <f aca="false">Rohdaten!C245</f>
        <v>1.5</v>
      </c>
      <c r="C245" s="8" t="n">
        <f aca="false">IFERROR(Rohdaten!C245*100/Rohdaten!G245,"–")</f>
        <v>1.66666666666667</v>
      </c>
      <c r="D245" s="8" t="n">
        <f aca="false">IFERROR(Rohdaten!C245*100/(Rohdaten!H245*9),"–")</f>
        <v>2.38095238095238</v>
      </c>
      <c r="E245" s="8" t="n">
        <f aca="false">IFERROR(Rohdaten!C245*100/(Rohdaten!I245*4),"–")</f>
        <v>10.7142857142857</v>
      </c>
      <c r="F245" s="8" t="n">
        <f aca="false">IFERROR(Rohdaten!C245*100/(Rohdaten!J245*4),"–")</f>
        <v>12.5</v>
      </c>
      <c r="G245" s="9" t="n">
        <f aca="false">IFERROR(Rohdaten!C245*100/Rohdaten!K245,"–")</f>
        <v>7.5</v>
      </c>
      <c r="H245" s="8" t="n">
        <f aca="false">IFERROR(Rohdaten!C245*100/Rohdaten!L245,"–")</f>
        <v>50</v>
      </c>
      <c r="I245" s="9" t="str">
        <f aca="false">IFERROR(Rohdaten!C245*100/Rohdaten!M245,"–")</f>
        <v>–</v>
      </c>
      <c r="J245" s="8" t="n">
        <f aca="false">IFERROR(Rohdaten!C245*100/Rohdaten!N245,"–")</f>
        <v>750</v>
      </c>
      <c r="K245" s="9" t="n">
        <f aca="false">IFERROR(Rohdaten!C245*100/Rohdaten!O245,"–")</f>
        <v>50</v>
      </c>
      <c r="L245" s="8" t="n">
        <f aca="false">IFERROR(Rohdaten!C245*100/Rohdaten!P245,"–")</f>
        <v>7500</v>
      </c>
      <c r="M245" s="8" t="n">
        <f aca="false">IFERROR(Rohdaten!C245*100/Rohdaten!Q245,"–")</f>
        <v>1500</v>
      </c>
      <c r="N245" s="8" t="n">
        <f aca="false">IFERROR(Rohdaten!C245*100/Rohdaten!R245,"–")</f>
        <v>750</v>
      </c>
      <c r="O245" s="8" t="n">
        <f aca="false">IFERROR(Rohdaten!C245*100/Rohdaten!S245,"–")</f>
        <v>3000</v>
      </c>
      <c r="P245" s="9" t="n">
        <f aca="false">IFERROR(Rohdaten!C245*100/Rohdaten!T245,"–")</f>
        <v>18.75</v>
      </c>
      <c r="Q245" s="9" t="n">
        <f aca="false">IFERROR(Rohdaten!C245*100/Rohdaten!U245,"–")</f>
        <v>750</v>
      </c>
      <c r="R245" s="8" t="n">
        <f aca="false">IFERROR(Rohdaten!C245*100/Rohdaten!V245,"–")</f>
        <v>1.875</v>
      </c>
      <c r="S245" s="8" t="n">
        <f aca="false">IFERROR(Rohdaten!C245*100/Rohdaten!W245,"–")</f>
        <v>750</v>
      </c>
      <c r="T245" s="8" t="n">
        <f aca="false">IFERROR(Rohdaten!C245*100/Rohdaten!X245,"–")</f>
        <v>15</v>
      </c>
      <c r="U245" s="8" t="n">
        <f aca="false">IFERROR(Rohdaten!C245*100/Rohdaten!Y245,"–")</f>
        <v>375</v>
      </c>
      <c r="V245" s="8" t="n">
        <f aca="false">IFERROR(Rohdaten!C245*100/Rohdaten!Z245,"–")</f>
        <v>1.36363636363636</v>
      </c>
    </row>
    <row r="246" customFormat="false" ht="15" hidden="false" customHeight="true" outlineLevel="0" collapsed="false">
      <c r="A246" s="4" t="str">
        <f aca="false">Rohdaten!A246</f>
        <v>Oliven, grün, eingelegt</v>
      </c>
      <c r="B246" s="8" t="n">
        <f aca="false">Rohdaten!C246</f>
        <v>1.5</v>
      </c>
      <c r="C246" s="8" t="n">
        <f aca="false">IFERROR(Rohdaten!C246*100/Rohdaten!G246,"–")</f>
        <v>1.03448275862069</v>
      </c>
      <c r="D246" s="8" t="n">
        <f aca="false">IFERROR(Rohdaten!C246*100/(Rohdaten!H246*9),"–")</f>
        <v>1.11111111111111</v>
      </c>
      <c r="E246" s="8" t="n">
        <f aca="false">IFERROR(Rohdaten!C246*100/(Rohdaten!I246*4),"–")</f>
        <v>37.5</v>
      </c>
      <c r="F246" s="8" t="n">
        <f aca="false">IFERROR(Rohdaten!C246*100/(Rohdaten!J246*4),"–")</f>
        <v>9.86842105263158</v>
      </c>
      <c r="G246" s="9" t="n">
        <f aca="false">IFERROR(Rohdaten!C246*100/Rohdaten!K246,"–")</f>
        <v>5</v>
      </c>
      <c r="H246" s="8" t="str">
        <f aca="false">IFERROR(Rohdaten!C246*100/Rohdaten!L246,"–")</f>
        <v>–</v>
      </c>
      <c r="I246" s="9" t="str">
        <f aca="false">IFERROR(Rohdaten!C246*100/Rohdaten!M246,"–")</f>
        <v>–</v>
      </c>
      <c r="J246" s="8" t="n">
        <f aca="false">IFERROR(Rohdaten!C246*100/Rohdaten!N246,"–")</f>
        <v>88.2352941176471</v>
      </c>
      <c r="K246" s="9" t="n">
        <f aca="false">IFERROR(Rohdaten!C246*100/Rohdaten!O246,"–")</f>
        <v>7.5</v>
      </c>
      <c r="L246" s="8" t="n">
        <f aca="false">IFERROR(Rohdaten!C246*100/Rohdaten!P246,"–")</f>
        <v>7500</v>
      </c>
      <c r="M246" s="8" t="n">
        <f aca="false">IFERROR(Rohdaten!C246*100/Rohdaten!Q246,"–")</f>
        <v>7500</v>
      </c>
      <c r="N246" s="8" t="n">
        <f aca="false">IFERROR(Rohdaten!C246*100/Rohdaten!R246,"–")</f>
        <v>1500</v>
      </c>
      <c r="O246" s="8" t="n">
        <f aca="false">IFERROR(Rohdaten!C246*100/Rohdaten!S246,"–")</f>
        <v>7500</v>
      </c>
      <c r="P246" s="9" t="str">
        <f aca="false">IFERROR(Rohdaten!C246*100/Rohdaten!T246,"–")</f>
        <v>–</v>
      </c>
      <c r="Q246" s="9" t="str">
        <f aca="false">IFERROR(Rohdaten!C246*100/Rohdaten!U246,"–")</f>
        <v>–</v>
      </c>
      <c r="R246" s="8" t="n">
        <f aca="false">IFERROR(Rohdaten!C246*100/Rohdaten!V246,"–")</f>
        <v>2.88461538461538</v>
      </c>
      <c r="S246" s="8" t="n">
        <f aca="false">IFERROR(Rohdaten!C246*100/Rohdaten!W246,"–")</f>
        <v>300</v>
      </c>
      <c r="T246" s="8" t="n">
        <f aca="false">IFERROR(Rohdaten!C246*100/Rohdaten!X246,"–")</f>
        <v>37.5</v>
      </c>
      <c r="U246" s="8" t="n">
        <f aca="false">IFERROR(Rohdaten!C246*100/Rohdaten!Y246,"–")</f>
        <v>750</v>
      </c>
      <c r="V246" s="8" t="n">
        <f aca="false">IFERROR(Rohdaten!C246*100/Rohdaten!Z246,"–")</f>
        <v>3.57142857142857</v>
      </c>
    </row>
    <row r="247" customFormat="false" ht="15" hidden="false" customHeight="true" outlineLevel="0" collapsed="false">
      <c r="A247" s="4" t="str">
        <f aca="false">Rohdaten!A247</f>
        <v>Oliven, schwarz, eingelegt</v>
      </c>
      <c r="B247" s="8" t="n">
        <f aca="false">Rohdaten!C247</f>
        <v>1.5</v>
      </c>
      <c r="C247" s="8" t="n">
        <f aca="false">IFERROR(Rohdaten!C247*100/Rohdaten!G247,"–")</f>
        <v>1.30434782608696</v>
      </c>
      <c r="D247" s="8" t="n">
        <f aca="false">IFERROR(Rohdaten!C247*100/(Rohdaten!H247*9),"–")</f>
        <v>1.51515151515152</v>
      </c>
      <c r="E247" s="8" t="n">
        <f aca="false">IFERROR(Rohdaten!C247*100/(Rohdaten!I247*4),"–")</f>
        <v>46.875</v>
      </c>
      <c r="F247" s="8" t="n">
        <f aca="false">IFERROR(Rohdaten!C247*100/(Rohdaten!J247*4),"–")</f>
        <v>5.95238095238095</v>
      </c>
      <c r="G247" s="9" t="n">
        <f aca="false">IFERROR(Rohdaten!C247*100/Rohdaten!K247,"–")</f>
        <v>7.5</v>
      </c>
      <c r="H247" s="8" t="str">
        <f aca="false">IFERROR(Rohdaten!C247*100/Rohdaten!L247,"–")</f>
        <v>–</v>
      </c>
      <c r="I247" s="9" t="str">
        <f aca="false">IFERROR(Rohdaten!C247*100/Rohdaten!M247,"–")</f>
        <v>–</v>
      </c>
      <c r="J247" s="8" t="n">
        <f aca="false">IFERROR(Rohdaten!C247*100/Rohdaten!N247,"–")</f>
        <v>88.2352941176471</v>
      </c>
      <c r="K247" s="9" t="n">
        <f aca="false">IFERROR(Rohdaten!C247*100/Rohdaten!O247,"–")</f>
        <v>75</v>
      </c>
      <c r="L247" s="8" t="n">
        <f aca="false">IFERROR(Rohdaten!C247*100/Rohdaten!P247,"–")</f>
        <v>7500</v>
      </c>
      <c r="M247" s="8" t="n">
        <f aca="false">IFERROR(Rohdaten!C247*100/Rohdaten!Q247,"–")</f>
        <v>7500</v>
      </c>
      <c r="N247" s="8" t="n">
        <f aca="false">IFERROR(Rohdaten!C247*100/Rohdaten!R247,"–")</f>
        <v>1500</v>
      </c>
      <c r="O247" s="8" t="n">
        <f aca="false">IFERROR(Rohdaten!C247*100/Rohdaten!S247,"–")</f>
        <v>7500</v>
      </c>
      <c r="P247" s="9" t="str">
        <f aca="false">IFERROR(Rohdaten!C247*100/Rohdaten!T247,"–")</f>
        <v>–</v>
      </c>
      <c r="Q247" s="9" t="str">
        <f aca="false">IFERROR(Rohdaten!C247*100/Rohdaten!U247,"–")</f>
        <v>–</v>
      </c>
      <c r="R247" s="8" t="n">
        <f aca="false">IFERROR(Rohdaten!C247*100/Rohdaten!V247,"–")</f>
        <v>1.70454545454545</v>
      </c>
      <c r="S247" s="8" t="n">
        <f aca="false">IFERROR(Rohdaten!C247*100/Rohdaten!W247,"–")</f>
        <v>45.4545454545455</v>
      </c>
      <c r="T247" s="8" t="n">
        <f aca="false">IFERROR(Rohdaten!C247*100/Rohdaten!X247,"–")</f>
        <v>37.5</v>
      </c>
      <c r="U247" s="8" t="n">
        <f aca="false">IFERROR(Rohdaten!C247*100/Rohdaten!Y247,"–")</f>
        <v>750</v>
      </c>
      <c r="V247" s="8" t="n">
        <f aca="false">IFERROR(Rohdaten!C247*100/Rohdaten!Z247,"–")</f>
        <v>18.75</v>
      </c>
    </row>
    <row r="248" customFormat="false" ht="15" hidden="false" customHeight="true" outlineLevel="0" collapsed="false">
      <c r="A248" s="4" t="str">
        <f aca="false">Rohdaten!A248</f>
        <v>Kapern, eingelegt</v>
      </c>
      <c r="B248" s="8" t="n">
        <f aca="false">Rohdaten!C248</f>
        <v>1.2</v>
      </c>
      <c r="C248" s="8" t="n">
        <f aca="false">IFERROR(Rohdaten!C248*100/Rohdaten!G248,"–")</f>
        <v>5.21739130434783</v>
      </c>
      <c r="D248" s="8" t="n">
        <f aca="false">IFERROR(Rohdaten!C248*100/(Rohdaten!H248*9),"–")</f>
        <v>14.8148148148148</v>
      </c>
      <c r="E248" s="8" t="n">
        <f aca="false">IFERROR(Rohdaten!C248*100/(Rohdaten!I248*4),"–")</f>
        <v>12.5</v>
      </c>
      <c r="F248" s="8" t="n">
        <f aca="false">IFERROR(Rohdaten!C248*100/(Rohdaten!J248*4),"–")</f>
        <v>6.12244897959184</v>
      </c>
      <c r="G248" s="9" t="n">
        <f aca="false">IFERROR(Rohdaten!C248*100/Rohdaten!K248,"–")</f>
        <v>5.45454545454545</v>
      </c>
      <c r="H248" s="8" t="n">
        <f aca="false">IFERROR(Rohdaten!C248*100/Rohdaten!L248,"–")</f>
        <v>30</v>
      </c>
      <c r="I248" s="9" t="str">
        <f aca="false">IFERROR(Rohdaten!C248*100/Rohdaten!M248,"–")</f>
        <v>–</v>
      </c>
      <c r="J248" s="8" t="str">
        <f aca="false">IFERROR(Rohdaten!C248*100/Rohdaten!N248,"–")</f>
        <v>–</v>
      </c>
      <c r="K248" s="9" t="str">
        <f aca="false">IFERROR(Rohdaten!C248*100/Rohdaten!O248,"–")</f>
        <v>–</v>
      </c>
      <c r="L248" s="8" t="n">
        <f aca="false">IFERROR(Rohdaten!C248*100/Rohdaten!P248,"–")</f>
        <v>6000</v>
      </c>
      <c r="M248" s="8" t="n">
        <f aca="false">IFERROR(Rohdaten!C248*100/Rohdaten!Q248,"–")</f>
        <v>1200</v>
      </c>
      <c r="N248" s="8" t="n">
        <f aca="false">IFERROR(Rohdaten!C248*100/Rohdaten!R248,"–")</f>
        <v>400</v>
      </c>
      <c r="O248" s="8" t="n">
        <f aca="false">IFERROR(Rohdaten!C248*100/Rohdaten!S248,"–")</f>
        <v>6000</v>
      </c>
      <c r="P248" s="9" t="n">
        <f aca="false">IFERROR(Rohdaten!C248*100/Rohdaten!T248,"–")</f>
        <v>5.21739130434783</v>
      </c>
      <c r="Q248" s="9" t="str">
        <f aca="false">IFERROR(Rohdaten!C248*100/Rohdaten!U248,"–")</f>
        <v>–</v>
      </c>
      <c r="R248" s="8" t="n">
        <f aca="false">IFERROR(Rohdaten!C248*100/Rohdaten!V248,"–")</f>
        <v>3</v>
      </c>
      <c r="S248" s="8" t="n">
        <f aca="false">IFERROR(Rohdaten!C248*100/Rohdaten!W248,"–")</f>
        <v>70.5882352941177</v>
      </c>
      <c r="T248" s="8" t="n">
        <f aca="false">IFERROR(Rohdaten!C248*100/Rohdaten!X248,"–")</f>
        <v>3.63636363636364</v>
      </c>
      <c r="U248" s="8" t="n">
        <f aca="false">IFERROR(Rohdaten!C248*100/Rohdaten!Y248,"–")</f>
        <v>400</v>
      </c>
      <c r="V248" s="8" t="n">
        <f aca="false">IFERROR(Rohdaten!C248*100/Rohdaten!Z248,"–")</f>
        <v>3</v>
      </c>
    </row>
    <row r="249" customFormat="false" ht="15" hidden="false" customHeight="true" outlineLevel="0" collapsed="false">
      <c r="A249" s="4" t="str">
        <f aca="false">Rohdaten!A249</f>
        <v>Pak Choi</v>
      </c>
      <c r="B249" s="8" t="n">
        <f aca="false">Rohdaten!C249</f>
        <v>0.3</v>
      </c>
      <c r="C249" s="8" t="n">
        <f aca="false">IFERROR(Rohdaten!C249*100/Rohdaten!G249,"–")</f>
        <v>2.30769230769231</v>
      </c>
      <c r="D249" s="8" t="n">
        <f aca="false">IFERROR(Rohdaten!C249*100/(Rohdaten!H249*9),"–")</f>
        <v>16.6666666666667</v>
      </c>
      <c r="E249" s="8" t="n">
        <f aca="false">IFERROR(Rohdaten!C249*100/(Rohdaten!I249*4),"–")</f>
        <v>5</v>
      </c>
      <c r="F249" s="8" t="n">
        <f aca="false">IFERROR(Rohdaten!C249*100/(Rohdaten!J249*4),"–")</f>
        <v>3.40909090909091</v>
      </c>
      <c r="G249" s="9" t="n">
        <f aca="false">IFERROR(Rohdaten!C249*100/Rohdaten!K249,"–")</f>
        <v>0.134529147982063</v>
      </c>
      <c r="H249" s="8" t="n">
        <f aca="false">IFERROR(Rohdaten!C249*100/Rohdaten!L249,"–")</f>
        <v>0.666666666666667</v>
      </c>
      <c r="I249" s="9" t="str">
        <f aca="false">IFERROR(Rohdaten!C249*100/Rohdaten!M249,"–")</f>
        <v>–</v>
      </c>
      <c r="J249" s="8" t="n">
        <f aca="false">IFERROR(Rohdaten!C249*100/Rohdaten!N249,"–")</f>
        <v>300</v>
      </c>
      <c r="K249" s="9" t="n">
        <f aca="false">IFERROR(Rohdaten!C249*100/Rohdaten!O249,"–")</f>
        <v>0.652173913043478</v>
      </c>
      <c r="L249" s="8" t="n">
        <f aca="false">IFERROR(Rohdaten!C249*100/Rohdaten!P249,"–")</f>
        <v>750</v>
      </c>
      <c r="M249" s="8" t="n">
        <f aca="false">IFERROR(Rohdaten!C249*100/Rohdaten!Q249,"–")</f>
        <v>428.571428571429</v>
      </c>
      <c r="N249" s="8" t="n">
        <f aca="false">IFERROR(Rohdaten!C249*100/Rohdaten!R249,"–")</f>
        <v>60</v>
      </c>
      <c r="O249" s="8" t="n">
        <f aca="false">IFERROR(Rohdaten!C249*100/Rohdaten!S249,"–")</f>
        <v>157.894736842105</v>
      </c>
      <c r="P249" s="9" t="n">
        <f aca="false">IFERROR(Rohdaten!C249*100/Rohdaten!T249,"–")</f>
        <v>0.454545454545455</v>
      </c>
      <c r="Q249" s="9" t="str">
        <f aca="false">IFERROR(Rohdaten!C249*100/Rohdaten!U249,"–")</f>
        <v>–</v>
      </c>
      <c r="R249" s="8" t="n">
        <f aca="false">IFERROR(Rohdaten!C249*100/Rohdaten!V249,"–")</f>
        <v>0.285714285714286</v>
      </c>
      <c r="S249" s="8" t="n">
        <f aca="false">IFERROR(Rohdaten!C249*100/Rohdaten!W249,"–")</f>
        <v>37.5</v>
      </c>
      <c r="T249" s="8" t="n">
        <f aca="false">IFERROR(Rohdaten!C249*100/Rohdaten!X249,"–")</f>
        <v>1.57894736842105</v>
      </c>
      <c r="U249" s="8" t="n">
        <f aca="false">IFERROR(Rohdaten!C249*100/Rohdaten!Y249,"–")</f>
        <v>150</v>
      </c>
      <c r="V249" s="8" t="n">
        <f aca="false">IFERROR(Rohdaten!C249*100/Rohdaten!Z249,"–")</f>
        <v>0.119047619047619</v>
      </c>
    </row>
    <row r="250" customFormat="false" ht="15" hidden="false" customHeight="true" outlineLevel="0" collapsed="false">
      <c r="A250" s="4" t="str">
        <f aca="false">Rohdaten!A250</f>
        <v>Chinakohl</v>
      </c>
      <c r="B250" s="8" t="n">
        <f aca="false">Rohdaten!C250</f>
        <v>0.2</v>
      </c>
      <c r="C250" s="8" t="n">
        <f aca="false">IFERROR(Rohdaten!C250*100/Rohdaten!G250,"–")</f>
        <v>1.25</v>
      </c>
      <c r="D250" s="8" t="n">
        <f aca="false">IFERROR(Rohdaten!C250*100/(Rohdaten!H250*9),"–")</f>
        <v>11.1111111111111</v>
      </c>
      <c r="E250" s="8" t="n">
        <f aca="false">IFERROR(Rohdaten!C250*100/(Rohdaten!I250*4),"–")</f>
        <v>4.16666666666667</v>
      </c>
      <c r="F250" s="8" t="n">
        <f aca="false">IFERROR(Rohdaten!C250*100/(Rohdaten!J250*4),"–")</f>
        <v>1.5625</v>
      </c>
      <c r="G250" s="9" t="n">
        <f aca="false">IFERROR(Rohdaten!C250*100/Rohdaten!K250,"–")</f>
        <v>0.444444444444444</v>
      </c>
      <c r="H250" s="8" t="n">
        <f aca="false">IFERROR(Rohdaten!C250*100/Rohdaten!L250,"–")</f>
        <v>0.740740740740741</v>
      </c>
      <c r="I250" s="9" t="str">
        <f aca="false">IFERROR(Rohdaten!C250*100/Rohdaten!M250,"–")</f>
        <v>–</v>
      </c>
      <c r="J250" s="8" t="n">
        <f aca="false">IFERROR(Rohdaten!C250*100/Rohdaten!N250,"–")</f>
        <v>200</v>
      </c>
      <c r="K250" s="9" t="n">
        <f aca="false">IFERROR(Rohdaten!C250*100/Rohdaten!O250,"–")</f>
        <v>0.476190476190476</v>
      </c>
      <c r="L250" s="8" t="n">
        <f aca="false">IFERROR(Rohdaten!C250*100/Rohdaten!P250,"–")</f>
        <v>500</v>
      </c>
      <c r="M250" s="8" t="n">
        <f aca="false">IFERROR(Rohdaten!C250*100/Rohdaten!Q250,"–")</f>
        <v>400</v>
      </c>
      <c r="N250" s="8" t="n">
        <f aca="false">IFERROR(Rohdaten!C250*100/Rohdaten!R250,"–")</f>
        <v>50</v>
      </c>
      <c r="O250" s="8" t="n">
        <f aca="false">IFERROR(Rohdaten!C250*100/Rohdaten!S250,"–")</f>
        <v>86.9565217391304</v>
      </c>
      <c r="P250" s="9" t="n">
        <f aca="false">IFERROR(Rohdaten!C250*100/Rohdaten!T250,"–")</f>
        <v>0.253164556962025</v>
      </c>
      <c r="Q250" s="9" t="str">
        <f aca="false">IFERROR(Rohdaten!C250*100/Rohdaten!U250,"–")</f>
        <v>–</v>
      </c>
      <c r="R250" s="8" t="n">
        <f aca="false">IFERROR(Rohdaten!C250*100/Rohdaten!V250,"–")</f>
        <v>0.25974025974026</v>
      </c>
      <c r="S250" s="8" t="n">
        <f aca="false">IFERROR(Rohdaten!C250*100/Rohdaten!W250,"–")</f>
        <v>25</v>
      </c>
      <c r="T250" s="8" t="n">
        <f aca="false">IFERROR(Rohdaten!C250*100/Rohdaten!X250,"–")</f>
        <v>1.53846153846154</v>
      </c>
      <c r="U250" s="8" t="n">
        <f aca="false">IFERROR(Rohdaten!C250*100/Rohdaten!Y250,"–")</f>
        <v>100</v>
      </c>
      <c r="V250" s="8" t="n">
        <f aca="false">IFERROR(Rohdaten!C250*100/Rohdaten!Z250,"–")</f>
        <v>0.0840336134453782</v>
      </c>
    </row>
    <row r="251" customFormat="false" ht="15" hidden="false" customHeight="true" outlineLevel="0" collapsed="false">
      <c r="A251" s="4" t="str">
        <f aca="false">Rohdaten!A251</f>
        <v>Mangold</v>
      </c>
      <c r="B251" s="8" t="n">
        <f aca="false">Rohdaten!C251</f>
        <v>0.3</v>
      </c>
      <c r="C251" s="8" t="n">
        <f aca="false">IFERROR(Rohdaten!C251*100/Rohdaten!G251,"–")</f>
        <v>1.57894736842105</v>
      </c>
      <c r="D251" s="8" t="n">
        <f aca="false">IFERROR(Rohdaten!C251*100/(Rohdaten!H251*9),"–")</f>
        <v>16.6666666666667</v>
      </c>
      <c r="E251" s="8" t="n">
        <f aca="false">IFERROR(Rohdaten!C251*100/(Rohdaten!I251*4),"–")</f>
        <v>4.16666666666667</v>
      </c>
      <c r="F251" s="8" t="n">
        <f aca="false">IFERROR(Rohdaten!C251*100/(Rohdaten!J251*4),"–")</f>
        <v>2.02702702702703</v>
      </c>
      <c r="G251" s="9" t="n">
        <f aca="false">IFERROR(Rohdaten!C251*100/Rohdaten!K251,"–")</f>
        <v>0.0980392156862745</v>
      </c>
      <c r="H251" s="8" t="n">
        <f aca="false">IFERROR(Rohdaten!C251*100/Rohdaten!L251,"–")</f>
        <v>1</v>
      </c>
      <c r="I251" s="9" t="str">
        <f aca="false">IFERROR(Rohdaten!C251*100/Rohdaten!M251,"–")</f>
        <v>–</v>
      </c>
      <c r="J251" s="8" t="n">
        <f aca="false">IFERROR(Rohdaten!C251*100/Rohdaten!N251,"–")</f>
        <v>15.7894736842105</v>
      </c>
      <c r="K251" s="9" t="n">
        <f aca="false">IFERROR(Rohdaten!C251*100/Rohdaten!O251,"–")</f>
        <v>0.036144578313253</v>
      </c>
      <c r="L251" s="8" t="n">
        <f aca="false">IFERROR(Rohdaten!C251*100/Rohdaten!P251,"–")</f>
        <v>750</v>
      </c>
      <c r="M251" s="8" t="n">
        <f aca="false">IFERROR(Rohdaten!C251*100/Rohdaten!Q251,"–")</f>
        <v>333.333333333333</v>
      </c>
      <c r="N251" s="8" t="n">
        <f aca="false">IFERROR(Rohdaten!C251*100/Rohdaten!R251,"–")</f>
        <v>75</v>
      </c>
      <c r="O251" s="8" t="n">
        <f aca="false">IFERROR(Rohdaten!C251*100/Rohdaten!S251,"–")</f>
        <v>300</v>
      </c>
      <c r="P251" s="9" t="n">
        <f aca="false">IFERROR(Rohdaten!C251*100/Rohdaten!T251,"–")</f>
        <v>2.14285714285714</v>
      </c>
      <c r="Q251" s="9" t="str">
        <f aca="false">IFERROR(Rohdaten!C251*100/Rohdaten!U251,"–")</f>
        <v>–</v>
      </c>
      <c r="R251" s="8" t="n">
        <f aca="false">IFERROR(Rohdaten!C251*100/Rohdaten!V251,"–")</f>
        <v>0.588235294117647</v>
      </c>
      <c r="S251" s="8" t="n">
        <f aca="false">IFERROR(Rohdaten!C251*100/Rohdaten!W251,"–")</f>
        <v>16.6666666666667</v>
      </c>
      <c r="T251" s="8" t="n">
        <f aca="false">IFERROR(Rohdaten!C251*100/Rohdaten!X251,"–")</f>
        <v>0.37037037037037</v>
      </c>
      <c r="U251" s="8" t="n">
        <f aca="false">IFERROR(Rohdaten!C251*100/Rohdaten!Y251,"–")</f>
        <v>75</v>
      </c>
      <c r="V251" s="8" t="n">
        <f aca="false">IFERROR(Rohdaten!C251*100/Rohdaten!Z251,"–")</f>
        <v>0.079155672823219</v>
      </c>
    </row>
    <row r="252" customFormat="false" ht="15" hidden="false" customHeight="true" outlineLevel="0" collapsed="false">
      <c r="A252" s="4" t="str">
        <f aca="false">Rohdaten!A252</f>
        <v>Radicchio</v>
      </c>
      <c r="B252" s="8" t="n">
        <f aca="false">Rohdaten!C252</f>
        <v>0.4</v>
      </c>
      <c r="C252" s="8" t="n">
        <f aca="false">IFERROR(Rohdaten!C252*100/Rohdaten!G252,"–")</f>
        <v>1.73913043478261</v>
      </c>
      <c r="D252" s="8" t="n">
        <f aca="false">IFERROR(Rohdaten!C252*100/(Rohdaten!H252*9),"–")</f>
        <v>22.2222222222222</v>
      </c>
      <c r="E252" s="8" t="n">
        <f aca="false">IFERROR(Rohdaten!C252*100/(Rohdaten!I252*4),"–")</f>
        <v>7.14285714285714</v>
      </c>
      <c r="F252" s="8" t="n">
        <f aca="false">IFERROR(Rohdaten!C252*100/(Rohdaten!J252*4),"–")</f>
        <v>2.22222222222222</v>
      </c>
      <c r="G252" s="9" t="n">
        <f aca="false">IFERROR(Rohdaten!C252*100/Rohdaten!K252,"–")</f>
        <v>6.66666666666667</v>
      </c>
      <c r="H252" s="8" t="n">
        <f aca="false">IFERROR(Rohdaten!C252*100/Rohdaten!L252,"–")</f>
        <v>5</v>
      </c>
      <c r="I252" s="9" t="str">
        <f aca="false">IFERROR(Rohdaten!C252*100/Rohdaten!M252,"–")</f>
        <v>–</v>
      </c>
      <c r="J252" s="8" t="n">
        <f aca="false">IFERROR(Rohdaten!C252*100/Rohdaten!N252,"–")</f>
        <v>17.3913043478261</v>
      </c>
      <c r="K252" s="9" t="n">
        <f aca="false">IFERROR(Rohdaten!C252*100/Rohdaten!O252,"–")</f>
        <v>0.156862745098039</v>
      </c>
      <c r="L252" s="8" t="n">
        <f aca="false">IFERROR(Rohdaten!C252*100/Rohdaten!P252,"–")</f>
        <v>666.666666666667</v>
      </c>
      <c r="M252" s="8" t="n">
        <f aca="false">IFERROR(Rohdaten!C252*100/Rohdaten!Q252,"–")</f>
        <v>1333.33333333333</v>
      </c>
      <c r="N252" s="8" t="n">
        <f aca="false">IFERROR(Rohdaten!C252*100/Rohdaten!R252,"–")</f>
        <v>133.333333333333</v>
      </c>
      <c r="O252" s="8" t="n">
        <f aca="false">IFERROR(Rohdaten!C252*100/Rohdaten!S252,"–")</f>
        <v>800</v>
      </c>
      <c r="P252" s="9" t="n">
        <f aca="false">IFERROR(Rohdaten!C252*100/Rohdaten!T252,"–")</f>
        <v>0.666666666666667</v>
      </c>
      <c r="Q252" s="9" t="str">
        <f aca="false">IFERROR(Rohdaten!C252*100/Rohdaten!U252,"–")</f>
        <v>–</v>
      </c>
      <c r="R252" s="8" t="n">
        <f aca="false">IFERROR(Rohdaten!C252*100/Rohdaten!V252,"–")</f>
        <v>2.10526315789474</v>
      </c>
      <c r="S252" s="8" t="n">
        <f aca="false">IFERROR(Rohdaten!C252*100/Rohdaten!W252,"–")</f>
        <v>66.6666666666667</v>
      </c>
      <c r="T252" s="8" t="n">
        <f aca="false">IFERROR(Rohdaten!C252*100/Rohdaten!X252,"–")</f>
        <v>3.07692307692308</v>
      </c>
      <c r="U252" s="8" t="n">
        <f aca="false">IFERROR(Rohdaten!C252*100/Rohdaten!Y252,"–")</f>
        <v>66.6666666666667</v>
      </c>
      <c r="V252" s="8" t="n">
        <f aca="false">IFERROR(Rohdaten!C252*100/Rohdaten!Z252,"–")</f>
        <v>0.132450331125828</v>
      </c>
    </row>
    <row r="253" customFormat="false" ht="15" hidden="false" customHeight="true" outlineLevel="0" collapsed="false">
      <c r="A253" s="4" t="str">
        <f aca="false">Rohdaten!A253</f>
        <v>Chicorée</v>
      </c>
      <c r="B253" s="8" t="n">
        <f aca="false">Rohdaten!C253</f>
        <v>0.4</v>
      </c>
      <c r="C253" s="8" t="n">
        <f aca="false">IFERROR(Rohdaten!C253*100/Rohdaten!G253,"–")</f>
        <v>2.35294117647059</v>
      </c>
      <c r="D253" s="8" t="n">
        <f aca="false">IFERROR(Rohdaten!C253*100/(Rohdaten!H253*9),"–")</f>
        <v>44.4444444444444</v>
      </c>
      <c r="E253" s="8" t="n">
        <f aca="false">IFERROR(Rohdaten!C253*100/(Rohdaten!I253*4),"–")</f>
        <v>11.1111111111111</v>
      </c>
      <c r="F253" s="8" t="n">
        <f aca="false">IFERROR(Rohdaten!C253*100/(Rohdaten!J253*4),"–")</f>
        <v>2.5</v>
      </c>
      <c r="G253" s="9" t="n">
        <f aca="false">IFERROR(Rohdaten!C253*100/Rohdaten!K253,"–")</f>
        <v>10</v>
      </c>
      <c r="H253" s="8" t="n">
        <f aca="false">IFERROR(Rohdaten!C253*100/Rohdaten!L253,"–")</f>
        <v>12.5</v>
      </c>
      <c r="I253" s="9" t="str">
        <f aca="false">IFERROR(Rohdaten!C253*100/Rohdaten!M253,"–")</f>
        <v>–</v>
      </c>
      <c r="J253" s="8" t="n">
        <f aca="false">IFERROR(Rohdaten!C253*100/Rohdaten!N253,"–")</f>
        <v>400</v>
      </c>
      <c r="K253" s="9" t="n">
        <f aca="false">IFERROR(Rohdaten!C253*100/Rohdaten!O253,"–")</f>
        <v>0.174672489082969</v>
      </c>
      <c r="L253" s="8" t="n">
        <f aca="false">IFERROR(Rohdaten!C253*100/Rohdaten!P253,"–")</f>
        <v>666.666666666667</v>
      </c>
      <c r="M253" s="8" t="n">
        <f aca="false">IFERROR(Rohdaten!C253*100/Rohdaten!Q253,"–")</f>
        <v>2000</v>
      </c>
      <c r="N253" s="8" t="n">
        <f aca="false">IFERROR(Rohdaten!C253*100/Rohdaten!R253,"–")</f>
        <v>100</v>
      </c>
      <c r="O253" s="8" t="n">
        <f aca="false">IFERROR(Rohdaten!C253*100/Rohdaten!S253,"–")</f>
        <v>666.666666666667</v>
      </c>
      <c r="P253" s="9" t="n">
        <f aca="false">IFERROR(Rohdaten!C253*100/Rohdaten!T253,"–")</f>
        <v>0.930232558139535</v>
      </c>
      <c r="Q253" s="9" t="str">
        <f aca="false">IFERROR(Rohdaten!C253*100/Rohdaten!U253,"–")</f>
        <v>–</v>
      </c>
      <c r="R253" s="8" t="n">
        <f aca="false">IFERROR(Rohdaten!C253*100/Rohdaten!V253,"–")</f>
        <v>2.22222222222222</v>
      </c>
      <c r="S253" s="8" t="n">
        <f aca="false">IFERROR(Rohdaten!C253*100/Rohdaten!W253,"–")</f>
        <v>80</v>
      </c>
      <c r="T253" s="8" t="n">
        <f aca="false">IFERROR(Rohdaten!C253*100/Rohdaten!X253,"–")</f>
        <v>4</v>
      </c>
      <c r="U253" s="8" t="n">
        <f aca="false">IFERROR(Rohdaten!C253*100/Rohdaten!Y253,"–")</f>
        <v>200</v>
      </c>
      <c r="V253" s="8" t="n">
        <f aca="false">IFERROR(Rohdaten!C253*100/Rohdaten!Z253,"–")</f>
        <v>0.18957345971564</v>
      </c>
    </row>
    <row r="254" customFormat="false" ht="15" hidden="false" customHeight="true" outlineLevel="0" collapsed="false">
      <c r="A254" s="4" t="str">
        <f aca="false">Rohdaten!A254</f>
        <v>Endivie</v>
      </c>
      <c r="B254" s="8" t="n">
        <f aca="false">Rohdaten!C254</f>
        <v>0.3</v>
      </c>
      <c r="C254" s="8" t="n">
        <f aca="false">IFERROR(Rohdaten!C254*100/Rohdaten!G254,"–")</f>
        <v>1.76470588235294</v>
      </c>
      <c r="D254" s="8" t="n">
        <f aca="false">IFERROR(Rohdaten!C254*100/(Rohdaten!H254*9),"–")</f>
        <v>16.6666666666667</v>
      </c>
      <c r="E254" s="8" t="n">
        <f aca="false">IFERROR(Rohdaten!C254*100/(Rohdaten!I254*4),"–")</f>
        <v>5.76923076923077</v>
      </c>
      <c r="F254" s="8" t="n">
        <f aca="false">IFERROR(Rohdaten!C254*100/(Rohdaten!J254*4),"–")</f>
        <v>2.20588235294118</v>
      </c>
      <c r="G254" s="9" t="n">
        <f aca="false">IFERROR(Rohdaten!C254*100/Rohdaten!K254,"–")</f>
        <v>0.206896551724138</v>
      </c>
      <c r="H254" s="8" t="n">
        <f aca="false">IFERROR(Rohdaten!C254*100/Rohdaten!L254,"–")</f>
        <v>4.61538461538462</v>
      </c>
      <c r="I254" s="9" t="str">
        <f aca="false">IFERROR(Rohdaten!C254*100/Rohdaten!M254,"–")</f>
        <v>–</v>
      </c>
      <c r="J254" s="8" t="n">
        <f aca="false">IFERROR(Rohdaten!C254*100/Rohdaten!N254,"–")</f>
        <v>75</v>
      </c>
      <c r="K254" s="9" t="n">
        <f aca="false">IFERROR(Rohdaten!C254*100/Rohdaten!O254,"–")</f>
        <v>0.12987012987013</v>
      </c>
      <c r="L254" s="8" t="n">
        <f aca="false">IFERROR(Rohdaten!C254*100/Rohdaten!P254,"–")</f>
        <v>375</v>
      </c>
      <c r="M254" s="8" t="n">
        <f aca="false">IFERROR(Rohdaten!C254*100/Rohdaten!Q254,"–")</f>
        <v>375</v>
      </c>
      <c r="N254" s="8" t="n">
        <f aca="false">IFERROR(Rohdaten!C254*100/Rohdaten!R254,"–")</f>
        <v>75</v>
      </c>
      <c r="O254" s="8" t="n">
        <f aca="false">IFERROR(Rohdaten!C254*100/Rohdaten!S254,"–")</f>
        <v>1500</v>
      </c>
      <c r="P254" s="9" t="n">
        <f aca="false">IFERROR(Rohdaten!C254*100/Rohdaten!T254,"–")</f>
        <v>0.211267605633803</v>
      </c>
      <c r="Q254" s="9" t="str">
        <f aca="false">IFERROR(Rohdaten!C254*100/Rohdaten!U254,"–")</f>
        <v>–</v>
      </c>
      <c r="R254" s="8" t="n">
        <f aca="false">IFERROR(Rohdaten!C254*100/Rohdaten!V254,"–")</f>
        <v>0.576923076923077</v>
      </c>
      <c r="S254" s="8" t="n">
        <f aca="false">IFERROR(Rohdaten!C254*100/Rohdaten!W254,"–")</f>
        <v>37.5</v>
      </c>
      <c r="T254" s="8" t="n">
        <f aca="false">IFERROR(Rohdaten!C254*100/Rohdaten!X254,"–")</f>
        <v>2</v>
      </c>
      <c r="U254" s="8" t="n">
        <f aca="false">IFERROR(Rohdaten!C254*100/Rohdaten!Y254,"–")</f>
        <v>75</v>
      </c>
      <c r="V254" s="8" t="n">
        <f aca="false">IFERROR(Rohdaten!C254*100/Rohdaten!Z254,"–")</f>
        <v>0.0955414012738854</v>
      </c>
    </row>
    <row r="255" customFormat="false" ht="15" hidden="false" customHeight="true" outlineLevel="0" collapsed="false">
      <c r="A255" s="4" t="str">
        <f aca="false">Rohdaten!A255</f>
        <v>Schwarzwurzel</v>
      </c>
      <c r="B255" s="8" t="n">
        <f aca="false">Rohdaten!C255</f>
        <v>0.3</v>
      </c>
      <c r="C255" s="8" t="n">
        <f aca="false">IFERROR(Rohdaten!C255*100/Rohdaten!G255,"–")</f>
        <v>0.365853658536585</v>
      </c>
      <c r="D255" s="8" t="n">
        <f aca="false">IFERROR(Rohdaten!C255*100/(Rohdaten!H255*9),"–")</f>
        <v>11.1111111111111</v>
      </c>
      <c r="E255" s="8" t="n">
        <f aca="false">IFERROR(Rohdaten!C255*100/(Rohdaten!I255*4),"–")</f>
        <v>2.27272727272727</v>
      </c>
      <c r="F255" s="8" t="n">
        <f aca="false">IFERROR(Rohdaten!C255*100/(Rohdaten!J255*4),"–")</f>
        <v>0.428571428571429</v>
      </c>
      <c r="G255" s="9" t="n">
        <f aca="false">IFERROR(Rohdaten!C255*100/Rohdaten!K255,"–")</f>
        <v>15</v>
      </c>
      <c r="H255" s="8" t="n">
        <f aca="false">IFERROR(Rohdaten!C255*100/Rohdaten!L255,"–")</f>
        <v>7.5</v>
      </c>
      <c r="I255" s="9" t="str">
        <f aca="false">IFERROR(Rohdaten!C255*100/Rohdaten!M255,"–")</f>
        <v>–</v>
      </c>
      <c r="J255" s="8" t="str">
        <f aca="false">IFERROR(Rohdaten!C255*100/Rohdaten!N255,"–")</f>
        <v>–</v>
      </c>
      <c r="K255" s="9" t="str">
        <f aca="false">IFERROR(Rohdaten!C255*100/Rohdaten!O255,"–")</f>
        <v>–</v>
      </c>
      <c r="L255" s="8" t="n">
        <f aca="false">IFERROR(Rohdaten!C255*100/Rohdaten!P255,"–")</f>
        <v>300</v>
      </c>
      <c r="M255" s="8" t="n">
        <f aca="false">IFERROR(Rohdaten!C255*100/Rohdaten!Q255,"–")</f>
        <v>600</v>
      </c>
      <c r="N255" s="8" t="n">
        <f aca="false">IFERROR(Rohdaten!C255*100/Rohdaten!R255,"–")</f>
        <v>60</v>
      </c>
      <c r="O255" s="8" t="n">
        <f aca="false">IFERROR(Rohdaten!C255*100/Rohdaten!S255,"–")</f>
        <v>300</v>
      </c>
      <c r="P255" s="9" t="n">
        <f aca="false">IFERROR(Rohdaten!C255*100/Rohdaten!T255,"–")</f>
        <v>3</v>
      </c>
      <c r="Q255" s="9" t="str">
        <f aca="false">IFERROR(Rohdaten!C255*100/Rohdaten!U255,"–")</f>
        <v>–</v>
      </c>
      <c r="R255" s="8" t="n">
        <f aca="false">IFERROR(Rohdaten!C255*100/Rohdaten!V255,"–")</f>
        <v>0.5</v>
      </c>
      <c r="S255" s="8" t="n">
        <f aca="false">IFERROR(Rohdaten!C255*100/Rohdaten!W255,"–")</f>
        <v>16.6666666666667</v>
      </c>
      <c r="T255" s="8" t="n">
        <f aca="false">IFERROR(Rohdaten!C255*100/Rohdaten!X255,"–")</f>
        <v>1.2</v>
      </c>
      <c r="U255" s="8" t="n">
        <f aca="false">IFERROR(Rohdaten!C255*100/Rohdaten!Y255,"–")</f>
        <v>60</v>
      </c>
      <c r="V255" s="8" t="n">
        <f aca="false">IFERROR(Rohdaten!C255*100/Rohdaten!Z255,"–")</f>
        <v>0.0789473684210526</v>
      </c>
    </row>
    <row r="256" customFormat="false" ht="15" hidden="false" customHeight="true" outlineLevel="0" collapsed="false">
      <c r="A256" s="4" t="str">
        <f aca="false">Rohdaten!A256</f>
        <v>Topinambur</v>
      </c>
      <c r="B256" s="8" t="n">
        <f aca="false">Rohdaten!C256</f>
        <v>0.3</v>
      </c>
      <c r="C256" s="8" t="n">
        <f aca="false">IFERROR(Rohdaten!C256*100/Rohdaten!G256,"–")</f>
        <v>0.410958904109589</v>
      </c>
      <c r="D256" s="8" t="n">
        <f aca="false">IFERROR(Rohdaten!C256*100/(Rohdaten!H256*9),"–")</f>
        <v>33.3333333333333</v>
      </c>
      <c r="E256" s="8" t="n">
        <f aca="false">IFERROR(Rohdaten!C256*100/(Rohdaten!I256*4),"–")</f>
        <v>3.75</v>
      </c>
      <c r="F256" s="8" t="n">
        <f aca="false">IFERROR(Rohdaten!C256*100/(Rohdaten!J256*4),"–")</f>
        <v>0.441176470588235</v>
      </c>
      <c r="G256" s="9" t="n">
        <f aca="false">IFERROR(Rohdaten!C256*100/Rohdaten!K256,"–")</f>
        <v>15</v>
      </c>
      <c r="H256" s="8" t="n">
        <f aca="false">IFERROR(Rohdaten!C256*100/Rohdaten!L256,"–")</f>
        <v>7.5</v>
      </c>
      <c r="I256" s="9" t="str">
        <f aca="false">IFERROR(Rohdaten!C256*100/Rohdaten!M256,"–")</f>
        <v>–</v>
      </c>
      <c r="J256" s="8" t="str">
        <f aca="false">IFERROR(Rohdaten!C256*100/Rohdaten!N256,"–")</f>
        <v>–</v>
      </c>
      <c r="K256" s="9" t="str">
        <f aca="false">IFERROR(Rohdaten!C256*100/Rohdaten!O256,"–")</f>
        <v>–</v>
      </c>
      <c r="L256" s="8" t="n">
        <f aca="false">IFERROR(Rohdaten!C256*100/Rohdaten!P256,"–")</f>
        <v>150</v>
      </c>
      <c r="M256" s="8" t="n">
        <f aca="false">IFERROR(Rohdaten!C256*100/Rohdaten!Q256,"–")</f>
        <v>500</v>
      </c>
      <c r="N256" s="8" t="n">
        <f aca="false">IFERROR(Rohdaten!C256*100/Rohdaten!R256,"–")</f>
        <v>23.0769230769231</v>
      </c>
      <c r="O256" s="8" t="n">
        <f aca="false">IFERROR(Rohdaten!C256*100/Rohdaten!S256,"–")</f>
        <v>375</v>
      </c>
      <c r="P256" s="9" t="n">
        <f aca="false">IFERROR(Rohdaten!C256*100/Rohdaten!T256,"–")</f>
        <v>2.30769230769231</v>
      </c>
      <c r="Q256" s="9" t="str">
        <f aca="false">IFERROR(Rohdaten!C256*100/Rohdaten!U256,"–")</f>
        <v>–</v>
      </c>
      <c r="R256" s="8" t="n">
        <f aca="false">IFERROR(Rohdaten!C256*100/Rohdaten!V256,"–")</f>
        <v>2.14285714285714</v>
      </c>
      <c r="S256" s="8" t="n">
        <f aca="false">IFERROR(Rohdaten!C256*100/Rohdaten!W256,"–")</f>
        <v>8.82352941176471</v>
      </c>
      <c r="T256" s="8" t="n">
        <f aca="false">IFERROR(Rohdaten!C256*100/Rohdaten!X256,"–")</f>
        <v>1.76470588235294</v>
      </c>
      <c r="U256" s="8" t="n">
        <f aca="false">IFERROR(Rohdaten!C256*100/Rohdaten!Y256,"–")</f>
        <v>300</v>
      </c>
      <c r="V256" s="8" t="n">
        <f aca="false">IFERROR(Rohdaten!C256*100/Rohdaten!Z256,"–")</f>
        <v>0.0699300699300699</v>
      </c>
    </row>
    <row r="257" customFormat="false" ht="15" hidden="false" customHeight="true" outlineLevel="0" collapsed="false">
      <c r="A257" s="4" t="str">
        <f aca="false">Rohdaten!A257</f>
        <v>Pastinake</v>
      </c>
      <c r="B257" s="8" t="n">
        <f aca="false">Rohdaten!C257</f>
        <v>0.3</v>
      </c>
      <c r="C257" s="8" t="n">
        <f aca="false">IFERROR(Rohdaten!C257*100/Rohdaten!G257,"–")</f>
        <v>0.4</v>
      </c>
      <c r="D257" s="8" t="n">
        <f aca="false">IFERROR(Rohdaten!C257*100/(Rohdaten!H257*9),"–")</f>
        <v>11.1111111111111</v>
      </c>
      <c r="E257" s="8" t="n">
        <f aca="false">IFERROR(Rohdaten!C257*100/(Rohdaten!I257*4),"–")</f>
        <v>6.25</v>
      </c>
      <c r="F257" s="8" t="n">
        <f aca="false">IFERROR(Rohdaten!C257*100/(Rohdaten!J257*4),"–")</f>
        <v>0.416666666666667</v>
      </c>
      <c r="G257" s="9" t="str">
        <f aca="false">IFERROR(Rohdaten!C257*100/Rohdaten!K257,"–")</f>
        <v>–</v>
      </c>
      <c r="H257" s="8" t="n">
        <f aca="false">IFERROR(Rohdaten!C257*100/Rohdaten!L257,"–")</f>
        <v>1.76470588235294</v>
      </c>
      <c r="I257" s="9" t="str">
        <f aca="false">IFERROR(Rohdaten!C257*100/Rohdaten!M257,"–")</f>
        <v>–</v>
      </c>
      <c r="J257" s="8" t="n">
        <f aca="false">IFERROR(Rohdaten!C257*100/Rohdaten!N257,"–")</f>
        <v>20</v>
      </c>
      <c r="K257" s="9" t="n">
        <f aca="false">IFERROR(Rohdaten!C257*100/Rohdaten!O257,"–")</f>
        <v>1.36363636363636</v>
      </c>
      <c r="L257" s="8" t="n">
        <f aca="false">IFERROR(Rohdaten!C257*100/Rohdaten!P257,"–")</f>
        <v>333.333333333333</v>
      </c>
      <c r="M257" s="8" t="n">
        <f aca="false">IFERROR(Rohdaten!C257*100/Rohdaten!Q257,"–")</f>
        <v>600</v>
      </c>
      <c r="N257" s="8" t="n">
        <f aca="false">IFERROR(Rohdaten!C257*100/Rohdaten!R257,"–")</f>
        <v>42.8571428571429</v>
      </c>
      <c r="O257" s="8" t="n">
        <f aca="false">IFERROR(Rohdaten!C257*100/Rohdaten!S257,"–")</f>
        <v>333.333333333333</v>
      </c>
      <c r="P257" s="9" t="n">
        <f aca="false">IFERROR(Rohdaten!C257*100/Rohdaten!T257,"–")</f>
        <v>0.447761194029851</v>
      </c>
      <c r="Q257" s="9" t="str">
        <f aca="false">IFERROR(Rohdaten!C257*100/Rohdaten!U257,"–")</f>
        <v>–</v>
      </c>
      <c r="R257" s="8" t="n">
        <f aca="false">IFERROR(Rohdaten!C257*100/Rohdaten!V257,"–")</f>
        <v>0.833333333333333</v>
      </c>
      <c r="S257" s="8" t="n">
        <f aca="false">IFERROR(Rohdaten!C257*100/Rohdaten!W257,"–")</f>
        <v>50</v>
      </c>
      <c r="T257" s="8" t="n">
        <f aca="false">IFERROR(Rohdaten!C257*100/Rohdaten!X257,"–")</f>
        <v>1.03448275862069</v>
      </c>
      <c r="U257" s="8" t="n">
        <f aca="false">IFERROR(Rohdaten!C257*100/Rohdaten!Y257,"–")</f>
        <v>50</v>
      </c>
      <c r="V257" s="8" t="n">
        <f aca="false">IFERROR(Rohdaten!C257*100/Rohdaten!Z257,"–")</f>
        <v>0.08</v>
      </c>
    </row>
    <row r="258" customFormat="false" ht="15" hidden="false" customHeight="true" outlineLevel="0" collapsed="false">
      <c r="A258" s="4" t="str">
        <f aca="false">Rohdaten!A258</f>
        <v>Steckrübe</v>
      </c>
      <c r="B258" s="8" t="n">
        <f aca="false">Rohdaten!C258</f>
        <v>0.2</v>
      </c>
      <c r="C258" s="8" t="n">
        <f aca="false">IFERROR(Rohdaten!C258*100/Rohdaten!G258,"–")</f>
        <v>0.526315789473684</v>
      </c>
      <c r="D258" s="8" t="n">
        <f aca="false">IFERROR(Rohdaten!C258*100/(Rohdaten!H258*9),"–")</f>
        <v>11.1111111111111</v>
      </c>
      <c r="E258" s="8" t="n">
        <f aca="false">IFERROR(Rohdaten!C258*100/(Rohdaten!I258*4),"–")</f>
        <v>4.16666666666667</v>
      </c>
      <c r="F258" s="8" t="n">
        <f aca="false">IFERROR(Rohdaten!C258*100/(Rohdaten!J258*4),"–")</f>
        <v>0.581395348837209</v>
      </c>
      <c r="G258" s="9" t="str">
        <f aca="false">IFERROR(Rohdaten!C258*100/Rohdaten!K258,"–")</f>
        <v>–</v>
      </c>
      <c r="H258" s="8" t="n">
        <f aca="false">IFERROR(Rohdaten!C258*100/Rohdaten!L258,"–")</f>
        <v>0.8</v>
      </c>
      <c r="I258" s="9" t="str">
        <f aca="false">IFERROR(Rohdaten!C258*100/Rohdaten!M258,"–")</f>
        <v>–</v>
      </c>
      <c r="J258" s="8" t="str">
        <f aca="false">IFERROR(Rohdaten!C258*100/Rohdaten!N258,"–")</f>
        <v>–</v>
      </c>
      <c r="K258" s="9" t="n">
        <f aca="false">IFERROR(Rohdaten!C258*100/Rohdaten!O258,"–")</f>
        <v>200</v>
      </c>
      <c r="L258" s="8" t="n">
        <f aca="false">IFERROR(Rohdaten!C258*100/Rohdaten!P258,"–")</f>
        <v>222.222222222222</v>
      </c>
      <c r="M258" s="8" t="n">
        <f aca="false">IFERROR(Rohdaten!C258*100/Rohdaten!Q258,"–")</f>
        <v>500</v>
      </c>
      <c r="N258" s="8" t="n">
        <f aca="false">IFERROR(Rohdaten!C258*100/Rohdaten!R258,"–")</f>
        <v>28.5714285714286</v>
      </c>
      <c r="O258" s="8" t="n">
        <f aca="false">IFERROR(Rohdaten!C258*100/Rohdaten!S258,"–")</f>
        <v>200</v>
      </c>
      <c r="P258" s="9" t="n">
        <f aca="false">IFERROR(Rohdaten!C258*100/Rohdaten!T258,"–")</f>
        <v>0.952380952380952</v>
      </c>
      <c r="Q258" s="9" t="str">
        <f aca="false">IFERROR(Rohdaten!C258*100/Rohdaten!U258,"–")</f>
        <v>–</v>
      </c>
      <c r="R258" s="8" t="n">
        <f aca="false">IFERROR(Rohdaten!C258*100/Rohdaten!V258,"–")</f>
        <v>0.465116279069767</v>
      </c>
      <c r="S258" s="8" t="n">
        <f aca="false">IFERROR(Rohdaten!C258*100/Rohdaten!W258,"–")</f>
        <v>50</v>
      </c>
      <c r="T258" s="8" t="n">
        <f aca="false">IFERROR(Rohdaten!C258*100/Rohdaten!X258,"–")</f>
        <v>1</v>
      </c>
      <c r="U258" s="8" t="n">
        <f aca="false">IFERROR(Rohdaten!C258*100/Rohdaten!Y258,"–")</f>
        <v>66.6666666666667</v>
      </c>
      <c r="V258" s="8" t="n">
        <f aca="false">IFERROR(Rohdaten!C258*100/Rohdaten!Z258,"–")</f>
        <v>0.0655737704918033</v>
      </c>
    </row>
    <row r="259" customFormat="false" ht="15" hidden="false" customHeight="true" outlineLevel="0" collapsed="false">
      <c r="A259" s="4" t="str">
        <f aca="false">Rohdaten!A259</f>
        <v>Okra</v>
      </c>
      <c r="B259" s="8" t="n">
        <f aca="false">Rohdaten!C259</f>
        <v>0.6</v>
      </c>
      <c r="C259" s="8" t="n">
        <f aca="false">IFERROR(Rohdaten!C259*100/Rohdaten!G259,"–")</f>
        <v>1.81818181818182</v>
      </c>
      <c r="D259" s="8" t="n">
        <f aca="false">IFERROR(Rohdaten!C259*100/(Rohdaten!H259*9),"–")</f>
        <v>33.3333333333333</v>
      </c>
      <c r="E259" s="8" t="n">
        <f aca="false">IFERROR(Rohdaten!C259*100/(Rohdaten!I259*4),"–")</f>
        <v>7.89473684210526</v>
      </c>
      <c r="F259" s="8" t="n">
        <f aca="false">IFERROR(Rohdaten!C259*100/(Rohdaten!J259*4),"–")</f>
        <v>2</v>
      </c>
      <c r="G259" s="9" t="n">
        <f aca="false">IFERROR(Rohdaten!C259*100/Rohdaten!K259,"–")</f>
        <v>1.66666666666667</v>
      </c>
      <c r="H259" s="8" t="n">
        <f aca="false">IFERROR(Rohdaten!C259*100/Rohdaten!L259,"–")</f>
        <v>2.60869565217391</v>
      </c>
      <c r="I259" s="9" t="str">
        <f aca="false">IFERROR(Rohdaten!C259*100/Rohdaten!M259,"–")</f>
        <v>–</v>
      </c>
      <c r="J259" s="8" t="n">
        <f aca="false">IFERROR(Rohdaten!C259*100/Rohdaten!N259,"–")</f>
        <v>150</v>
      </c>
      <c r="K259" s="9" t="n">
        <f aca="false">IFERROR(Rohdaten!C259*100/Rohdaten!O259,"–")</f>
        <v>1.93548387096774</v>
      </c>
      <c r="L259" s="8" t="n">
        <f aca="false">IFERROR(Rohdaten!C259*100/Rohdaten!P259,"–")</f>
        <v>300</v>
      </c>
      <c r="M259" s="8" t="n">
        <f aca="false">IFERROR(Rohdaten!C259*100/Rohdaten!Q259,"–")</f>
        <v>1000</v>
      </c>
      <c r="N259" s="8" t="n">
        <f aca="false">IFERROR(Rohdaten!C259*100/Rohdaten!R259,"–")</f>
        <v>60</v>
      </c>
      <c r="O259" s="8" t="n">
        <f aca="false">IFERROR(Rohdaten!C259*100/Rohdaten!S259,"–")</f>
        <v>272.727272727273</v>
      </c>
      <c r="P259" s="9" t="n">
        <f aca="false">IFERROR(Rohdaten!C259*100/Rohdaten!T259,"–")</f>
        <v>1</v>
      </c>
      <c r="Q259" s="9" t="str">
        <f aca="false">IFERROR(Rohdaten!C259*100/Rohdaten!U259,"–")</f>
        <v>–</v>
      </c>
      <c r="R259" s="8" t="n">
        <f aca="false">IFERROR(Rohdaten!C259*100/Rohdaten!V259,"–")</f>
        <v>0.731707317073171</v>
      </c>
      <c r="S259" s="8" t="n">
        <f aca="false">IFERROR(Rohdaten!C259*100/Rohdaten!W259,"–")</f>
        <v>100</v>
      </c>
      <c r="T259" s="8" t="n">
        <f aca="false">IFERROR(Rohdaten!C259*100/Rohdaten!X259,"–")</f>
        <v>1.05263157894737</v>
      </c>
      <c r="U259" s="8" t="n">
        <f aca="false">IFERROR(Rohdaten!C259*100/Rohdaten!Y259,"–")</f>
        <v>100</v>
      </c>
      <c r="V259" s="8" t="n">
        <f aca="false">IFERROR(Rohdaten!C259*100/Rohdaten!Z259,"–")</f>
        <v>0.20066889632107</v>
      </c>
    </row>
    <row r="260" customFormat="false" ht="15" hidden="false" customHeight="true" outlineLevel="0" collapsed="false">
      <c r="A260" s="4" t="str">
        <f aca="false">Rohdaten!A260</f>
        <v>Süßkartoffel</v>
      </c>
      <c r="B260" s="8" t="n">
        <f aca="false">Rohdaten!C260</f>
        <v>0.3</v>
      </c>
      <c r="C260" s="8" t="n">
        <f aca="false">IFERROR(Rohdaten!C260*100/Rohdaten!G260,"–")</f>
        <v>0.348837209302326</v>
      </c>
      <c r="D260" s="8" t="n">
        <f aca="false">IFERROR(Rohdaten!C260*100/(Rohdaten!H260*9),"–")</f>
        <v>33.3333333333333</v>
      </c>
      <c r="E260" s="8" t="n">
        <f aca="false">IFERROR(Rohdaten!C260*100/(Rohdaten!I260*4),"–")</f>
        <v>4.6875</v>
      </c>
      <c r="F260" s="8" t="n">
        <f aca="false">IFERROR(Rohdaten!C260*100/(Rohdaten!J260*4),"–")</f>
        <v>0.375</v>
      </c>
      <c r="G260" s="9" t="n">
        <f aca="false">IFERROR(Rohdaten!C260*100/Rohdaten!K260,"–")</f>
        <v>0.0423131170662906</v>
      </c>
      <c r="H260" s="8" t="n">
        <f aca="false">IFERROR(Rohdaten!C260*100/Rohdaten!L260,"–")</f>
        <v>12.5</v>
      </c>
      <c r="I260" s="9" t="str">
        <f aca="false">IFERROR(Rohdaten!C260*100/Rohdaten!M260,"–")</f>
        <v>–</v>
      </c>
      <c r="J260" s="8" t="n">
        <f aca="false">IFERROR(Rohdaten!C260*100/Rohdaten!N260,"–")</f>
        <v>100</v>
      </c>
      <c r="K260" s="9" t="n">
        <f aca="false">IFERROR(Rohdaten!C260*100/Rohdaten!O260,"–")</f>
        <v>16.6666666666667</v>
      </c>
      <c r="L260" s="8" t="n">
        <f aca="false">IFERROR(Rohdaten!C260*100/Rohdaten!P260,"–")</f>
        <v>375</v>
      </c>
      <c r="M260" s="8" t="n">
        <f aca="false">IFERROR(Rohdaten!C260*100/Rohdaten!Q260,"–")</f>
        <v>500</v>
      </c>
      <c r="N260" s="8" t="n">
        <f aca="false">IFERROR(Rohdaten!C260*100/Rohdaten!R260,"–")</f>
        <v>50</v>
      </c>
      <c r="O260" s="8" t="n">
        <f aca="false">IFERROR(Rohdaten!C260*100/Rohdaten!S260,"–")</f>
        <v>142.857142857143</v>
      </c>
      <c r="P260" s="9" t="n">
        <f aca="false">IFERROR(Rohdaten!C260*100/Rohdaten!T260,"–")</f>
        <v>2.72727272727273</v>
      </c>
      <c r="Q260" s="9" t="str">
        <f aca="false">IFERROR(Rohdaten!C260*100/Rohdaten!U260,"–")</f>
        <v>–</v>
      </c>
      <c r="R260" s="8" t="n">
        <f aca="false">IFERROR(Rohdaten!C260*100/Rohdaten!V260,"–")</f>
        <v>1</v>
      </c>
      <c r="S260" s="8" t="n">
        <f aca="false">IFERROR(Rohdaten!C260*100/Rohdaten!W260,"–")</f>
        <v>50</v>
      </c>
      <c r="T260" s="8" t="n">
        <f aca="false">IFERROR(Rohdaten!C260*100/Rohdaten!X260,"–")</f>
        <v>1.2</v>
      </c>
      <c r="U260" s="8" t="n">
        <f aca="false">IFERROR(Rohdaten!C260*100/Rohdaten!Y260,"–")</f>
        <v>100</v>
      </c>
      <c r="V260" s="8" t="n">
        <f aca="false">IFERROR(Rohdaten!C260*100/Rohdaten!Z260,"–")</f>
        <v>0.0890207715133531</v>
      </c>
    </row>
    <row r="261" customFormat="false" ht="15" hidden="false" customHeight="true" outlineLevel="0" collapsed="false">
      <c r="A261" s="4" t="str">
        <f aca="false">Rohdaten!A261</f>
        <v>Artischocke</v>
      </c>
      <c r="B261" s="8" t="n">
        <f aca="false">Rohdaten!C261</f>
        <v>0.5</v>
      </c>
      <c r="C261" s="8" t="n">
        <f aca="false">IFERROR(Rohdaten!C261*100/Rohdaten!G261,"–")</f>
        <v>1.06382978723404</v>
      </c>
      <c r="D261" s="8" t="n">
        <f aca="false">IFERROR(Rohdaten!C261*100/(Rohdaten!H261*9),"–")</f>
        <v>27.7777777777778</v>
      </c>
      <c r="E261" s="8" t="n">
        <f aca="false">IFERROR(Rohdaten!C261*100/(Rohdaten!I261*4),"–")</f>
        <v>3.78787878787879</v>
      </c>
      <c r="F261" s="8" t="n">
        <f aca="false">IFERROR(Rohdaten!C261*100/(Rohdaten!J261*4),"–")</f>
        <v>1.13636363636364</v>
      </c>
      <c r="G261" s="9" t="n">
        <f aca="false">IFERROR(Rohdaten!C261*100/Rohdaten!K261,"–")</f>
        <v>50</v>
      </c>
      <c r="H261" s="8" t="n">
        <f aca="false">IFERROR(Rohdaten!C261*100/Rohdaten!L261,"–")</f>
        <v>4.16666666666667</v>
      </c>
      <c r="I261" s="9" t="str">
        <f aca="false">IFERROR(Rohdaten!C261*100/Rohdaten!M261,"–")</f>
        <v>–</v>
      </c>
      <c r="J261" s="8" t="n">
        <f aca="false">IFERROR(Rohdaten!C261*100/Rohdaten!N261,"–")</f>
        <v>250</v>
      </c>
      <c r="K261" s="9" t="n">
        <f aca="false">IFERROR(Rohdaten!C261*100/Rohdaten!O261,"–")</f>
        <v>3.33333333333333</v>
      </c>
      <c r="L261" s="8" t="n">
        <f aca="false">IFERROR(Rohdaten!C261*100/Rohdaten!P261,"–")</f>
        <v>714.285714285714</v>
      </c>
      <c r="M261" s="8" t="n">
        <f aca="false">IFERROR(Rohdaten!C261*100/Rohdaten!Q261,"–")</f>
        <v>714.285714285714</v>
      </c>
      <c r="N261" s="8" t="n">
        <f aca="false">IFERROR(Rohdaten!C261*100/Rohdaten!R261,"–")</f>
        <v>50</v>
      </c>
      <c r="O261" s="8" t="n">
        <f aca="false">IFERROR(Rohdaten!C261*100/Rohdaten!S261,"–")</f>
        <v>416.666666666667</v>
      </c>
      <c r="P261" s="9" t="n">
        <f aca="false">IFERROR(Rohdaten!C261*100/Rohdaten!T261,"–")</f>
        <v>0.735294117647059</v>
      </c>
      <c r="Q261" s="9" t="str">
        <f aca="false">IFERROR(Rohdaten!C261*100/Rohdaten!U261,"–")</f>
        <v>–</v>
      </c>
      <c r="R261" s="8" t="n">
        <f aca="false">IFERROR(Rohdaten!C261*100/Rohdaten!V261,"–")</f>
        <v>1.13636363636364</v>
      </c>
      <c r="S261" s="8" t="n">
        <f aca="false">IFERROR(Rohdaten!C261*100/Rohdaten!W261,"–")</f>
        <v>38.4615384615385</v>
      </c>
      <c r="T261" s="8" t="n">
        <f aca="false">IFERROR(Rohdaten!C261*100/Rohdaten!X261,"–")</f>
        <v>0.833333333333333</v>
      </c>
      <c r="U261" s="8" t="n">
        <f aca="false">IFERROR(Rohdaten!C261*100/Rohdaten!Y261,"–")</f>
        <v>100</v>
      </c>
      <c r="V261" s="8" t="n">
        <f aca="false">IFERROR(Rohdaten!C261*100/Rohdaten!Z261,"–")</f>
        <v>0.135135135135135</v>
      </c>
    </row>
    <row r="262" customFormat="false" ht="15" hidden="false" customHeight="true" outlineLevel="0" collapsed="false">
      <c r="A262" s="4" t="str">
        <f aca="false">Rohdaten!A262</f>
        <v>Zuckerschoten</v>
      </c>
      <c r="B262" s="8" t="n">
        <f aca="false">Rohdaten!C262</f>
        <v>0.5</v>
      </c>
      <c r="C262" s="8" t="n">
        <f aca="false">IFERROR(Rohdaten!C262*100/Rohdaten!G262,"–")</f>
        <v>1.19047619047619</v>
      </c>
      <c r="D262" s="8" t="n">
        <f aca="false">IFERROR(Rohdaten!C262*100/(Rohdaten!H262*9),"–")</f>
        <v>27.7777777777778</v>
      </c>
      <c r="E262" s="8" t="n">
        <f aca="false">IFERROR(Rohdaten!C262*100/(Rohdaten!I262*4),"–")</f>
        <v>4.46428571428571</v>
      </c>
      <c r="F262" s="8" t="n">
        <f aca="false">IFERROR(Rohdaten!C262*100/(Rohdaten!J262*4),"–")</f>
        <v>1.64473684210526</v>
      </c>
      <c r="G262" s="9" t="n">
        <f aca="false">IFERROR(Rohdaten!C262*100/Rohdaten!K262,"–")</f>
        <v>1.31578947368421</v>
      </c>
      <c r="H262" s="8" t="n">
        <f aca="false">IFERROR(Rohdaten!C262*100/Rohdaten!L262,"–")</f>
        <v>0.833333333333333</v>
      </c>
      <c r="I262" s="9" t="str">
        <f aca="false">IFERROR(Rohdaten!C262*100/Rohdaten!M262,"–")</f>
        <v>–</v>
      </c>
      <c r="J262" s="8" t="n">
        <f aca="false">IFERROR(Rohdaten!C262*100/Rohdaten!N262,"–")</f>
        <v>250</v>
      </c>
      <c r="K262" s="9" t="n">
        <f aca="false">IFERROR(Rohdaten!C262*100/Rohdaten!O262,"–")</f>
        <v>2</v>
      </c>
      <c r="L262" s="8" t="n">
        <f aca="false">IFERROR(Rohdaten!C262*100/Rohdaten!P262,"–")</f>
        <v>333.333333333333</v>
      </c>
      <c r="M262" s="8" t="n">
        <f aca="false">IFERROR(Rohdaten!C262*100/Rohdaten!Q262,"–")</f>
        <v>625</v>
      </c>
      <c r="N262" s="8" t="n">
        <f aca="false">IFERROR(Rohdaten!C262*100/Rohdaten!R262,"–")</f>
        <v>83.3333333333333</v>
      </c>
      <c r="O262" s="8" t="n">
        <f aca="false">IFERROR(Rohdaten!C262*100/Rohdaten!S262,"–")</f>
        <v>312.5</v>
      </c>
      <c r="P262" s="9" t="n">
        <f aca="false">IFERROR(Rohdaten!C262*100/Rohdaten!T262,"–")</f>
        <v>1.19047619047619</v>
      </c>
      <c r="Q262" s="9" t="str">
        <f aca="false">IFERROR(Rohdaten!C262*100/Rohdaten!U262,"–")</f>
        <v>–</v>
      </c>
      <c r="R262" s="8" t="n">
        <f aca="false">IFERROR(Rohdaten!C262*100/Rohdaten!V262,"–")</f>
        <v>1.16279069767442</v>
      </c>
      <c r="S262" s="8" t="n">
        <f aca="false">IFERROR(Rohdaten!C262*100/Rohdaten!W262,"–")</f>
        <v>23.8095238095238</v>
      </c>
      <c r="T262" s="8" t="n">
        <f aca="false">IFERROR(Rohdaten!C262*100/Rohdaten!X262,"–")</f>
        <v>2.08333333333333</v>
      </c>
      <c r="U262" s="8" t="n">
        <f aca="false">IFERROR(Rohdaten!C262*100/Rohdaten!Y262,"–")</f>
        <v>166.666666666667</v>
      </c>
      <c r="V262" s="8" t="n">
        <f aca="false">IFERROR(Rohdaten!C262*100/Rohdaten!Z262,"–")</f>
        <v>0.25</v>
      </c>
    </row>
    <row r="263" customFormat="false" ht="15" hidden="false" customHeight="true" outlineLevel="0" collapsed="false">
      <c r="A263" s="4" t="str">
        <f aca="false">Rohdaten!A263</f>
        <v>Bambussprossen</v>
      </c>
      <c r="B263" s="8" t="n">
        <f aca="false">Rohdaten!C263</f>
        <v>0.8</v>
      </c>
      <c r="C263" s="8" t="n">
        <f aca="false">IFERROR(Rohdaten!C263*100/Rohdaten!G263,"–")</f>
        <v>2.96296296296296</v>
      </c>
      <c r="D263" s="8" t="n">
        <f aca="false">IFERROR(Rohdaten!C263*100/(Rohdaten!H263*9),"–")</f>
        <v>29.6296296296296</v>
      </c>
      <c r="E263" s="8" t="n">
        <f aca="false">IFERROR(Rohdaten!C263*100/(Rohdaten!I263*4),"–")</f>
        <v>7.69230769230769</v>
      </c>
      <c r="F263" s="8" t="n">
        <f aca="false">IFERROR(Rohdaten!C263*100/(Rohdaten!J263*4),"–")</f>
        <v>3.84615384615385</v>
      </c>
      <c r="G263" s="9" t="n">
        <f aca="false">IFERROR(Rohdaten!C263*100/Rohdaten!K263,"–")</f>
        <v>80</v>
      </c>
      <c r="H263" s="8" t="n">
        <f aca="false">IFERROR(Rohdaten!C263*100/Rohdaten!L263,"–")</f>
        <v>20</v>
      </c>
      <c r="I263" s="9" t="str">
        <f aca="false">IFERROR(Rohdaten!C263*100/Rohdaten!M263,"–")</f>
        <v>–</v>
      </c>
      <c r="J263" s="8" t="str">
        <f aca="false">IFERROR(Rohdaten!C263*100/Rohdaten!N263,"–")</f>
        <v>–</v>
      </c>
      <c r="K263" s="9" t="str">
        <f aca="false">IFERROR(Rohdaten!C263*100/Rohdaten!O263,"–")</f>
        <v>–</v>
      </c>
      <c r="L263" s="8" t="n">
        <f aca="false">IFERROR(Rohdaten!C263*100/Rohdaten!P263,"–")</f>
        <v>533.333333333333</v>
      </c>
      <c r="M263" s="8" t="n">
        <f aca="false">IFERROR(Rohdaten!C263*100/Rohdaten!Q263,"–")</f>
        <v>1142.85714285714</v>
      </c>
      <c r="N263" s="8" t="n">
        <f aca="false">IFERROR(Rohdaten!C263*100/Rohdaten!R263,"–")</f>
        <v>160</v>
      </c>
      <c r="O263" s="8" t="n">
        <f aca="false">IFERROR(Rohdaten!C263*100/Rohdaten!S263,"–")</f>
        <v>333.333333333333</v>
      </c>
      <c r="P263" s="9" t="n">
        <f aca="false">IFERROR(Rohdaten!C263*100/Rohdaten!T263,"–")</f>
        <v>11.4285714285714</v>
      </c>
      <c r="Q263" s="9" t="str">
        <f aca="false">IFERROR(Rohdaten!C263*100/Rohdaten!U263,"–")</f>
        <v>–</v>
      </c>
      <c r="R263" s="8" t="n">
        <f aca="false">IFERROR(Rohdaten!C263*100/Rohdaten!V263,"–")</f>
        <v>6.15384615384615</v>
      </c>
      <c r="S263" s="8" t="n">
        <f aca="false">IFERROR(Rohdaten!C263*100/Rohdaten!W263,"–")</f>
        <v>160</v>
      </c>
      <c r="T263" s="8" t="n">
        <f aca="false">IFERROR(Rohdaten!C263*100/Rohdaten!X263,"–")</f>
        <v>26.6666666666667</v>
      </c>
      <c r="U263" s="8" t="n">
        <f aca="false">IFERROR(Rohdaten!C263*100/Rohdaten!Y263,"–")</f>
        <v>72.7272727272727</v>
      </c>
      <c r="V263" s="8" t="n">
        <f aca="false">IFERROR(Rohdaten!C263*100/Rohdaten!Z263,"–")</f>
        <v>0.150093808630394</v>
      </c>
    </row>
    <row r="264" customFormat="false" ht="15" hidden="false" customHeight="true" outlineLevel="0" collapsed="false">
      <c r="A264" s="4" t="str">
        <f aca="false">Rohdaten!A264</f>
        <v>Löwenzahnblätter</v>
      </c>
      <c r="B264" s="8" t="n">
        <f aca="false">Rohdaten!C264</f>
        <v>0.3</v>
      </c>
      <c r="C264" s="8" t="n">
        <f aca="false">IFERROR(Rohdaten!C264*100/Rohdaten!G264,"–")</f>
        <v>0.666666666666667</v>
      </c>
      <c r="D264" s="8" t="n">
        <f aca="false">IFERROR(Rohdaten!C264*100/(Rohdaten!H264*9),"–")</f>
        <v>4.76190476190476</v>
      </c>
      <c r="E264" s="8" t="n">
        <f aca="false">IFERROR(Rohdaten!C264*100/(Rohdaten!I264*4),"–")</f>
        <v>2.77777777777778</v>
      </c>
      <c r="F264" s="8" t="n">
        <f aca="false">IFERROR(Rohdaten!C264*100/(Rohdaten!J264*4),"–")</f>
        <v>0.815217391304348</v>
      </c>
      <c r="G264" s="9" t="n">
        <f aca="false">IFERROR(Rohdaten!C264*100/Rohdaten!K264,"–")</f>
        <v>0.0590551181102362</v>
      </c>
      <c r="H264" s="8" t="n">
        <f aca="false">IFERROR(Rohdaten!C264*100/Rohdaten!L264,"–")</f>
        <v>0.857142857142857</v>
      </c>
      <c r="I264" s="9" t="str">
        <f aca="false">IFERROR(Rohdaten!C264*100/Rohdaten!M264,"–")</f>
        <v>–</v>
      </c>
      <c r="J264" s="8" t="n">
        <f aca="false">IFERROR(Rohdaten!C264*100/Rohdaten!N264,"–")</f>
        <v>8.82352941176471</v>
      </c>
      <c r="K264" s="9" t="n">
        <f aca="false">IFERROR(Rohdaten!C264*100/Rohdaten!O264,"–")</f>
        <v>0.038560411311054</v>
      </c>
      <c r="L264" s="8" t="n">
        <f aca="false">IFERROR(Rohdaten!C264*100/Rohdaten!P264,"–")</f>
        <v>157.894736842105</v>
      </c>
      <c r="M264" s="8" t="n">
        <f aca="false">IFERROR(Rohdaten!C264*100/Rohdaten!Q264,"–")</f>
        <v>115.384615384615</v>
      </c>
      <c r="N264" s="8" t="n">
        <f aca="false">IFERROR(Rohdaten!C264*100/Rohdaten!R264,"–")</f>
        <v>37.5</v>
      </c>
      <c r="O264" s="8" t="n">
        <f aca="false">IFERROR(Rohdaten!C264*100/Rohdaten!S264,"–")</f>
        <v>120</v>
      </c>
      <c r="P264" s="9" t="n">
        <f aca="false">IFERROR(Rohdaten!C264*100/Rohdaten!T264,"–")</f>
        <v>1.11111111111111</v>
      </c>
      <c r="Q264" s="9" t="str">
        <f aca="false">IFERROR(Rohdaten!C264*100/Rohdaten!U264,"–")</f>
        <v>–</v>
      </c>
      <c r="R264" s="8" t="n">
        <f aca="false">IFERROR(Rohdaten!C264*100/Rohdaten!V264,"–")</f>
        <v>0.160427807486631</v>
      </c>
      <c r="S264" s="8" t="n">
        <f aca="false">IFERROR(Rohdaten!C264*100/Rohdaten!W264,"–")</f>
        <v>9.67741935483871</v>
      </c>
      <c r="T264" s="8" t="n">
        <f aca="false">IFERROR(Rohdaten!C264*100/Rohdaten!X264,"–")</f>
        <v>0.833333333333333</v>
      </c>
      <c r="U264" s="8" t="n">
        <f aca="false">IFERROR(Rohdaten!C264*100/Rohdaten!Y264,"–")</f>
        <v>75</v>
      </c>
      <c r="V264" s="8" t="n">
        <f aca="false">IFERROR(Rohdaten!C264*100/Rohdaten!Z264,"–")</f>
        <v>0.0755667506297229</v>
      </c>
    </row>
    <row r="265" customFormat="false" ht="15" hidden="false" customHeight="true" outlineLevel="0" collapsed="false">
      <c r="A265" s="4" t="str">
        <f aca="false">Rohdaten!A265</f>
        <v>Batavia-Salat</v>
      </c>
      <c r="B265" s="8" t="n">
        <f aca="false">Rohdaten!C265</f>
        <v>0.4</v>
      </c>
      <c r="C265" s="8" t="n">
        <f aca="false">IFERROR(Rohdaten!C265*100/Rohdaten!G265,"–")</f>
        <v>2.66666666666667</v>
      </c>
      <c r="D265" s="8" t="n">
        <f aca="false">IFERROR(Rohdaten!C265*100/(Rohdaten!H265*9),"–")</f>
        <v>22.2222222222222</v>
      </c>
      <c r="E265" s="8" t="n">
        <f aca="false">IFERROR(Rohdaten!C265*100/(Rohdaten!I265*4),"–")</f>
        <v>7.14285714285714</v>
      </c>
      <c r="F265" s="8" t="n">
        <f aca="false">IFERROR(Rohdaten!C265*100/(Rohdaten!J265*4),"–")</f>
        <v>3.44827586206897</v>
      </c>
      <c r="G265" s="9" t="n">
        <f aca="false">IFERROR(Rohdaten!C265*100/Rohdaten!K265,"–")</f>
        <v>0.27027027027027</v>
      </c>
      <c r="H265" s="8" t="n">
        <f aca="false">IFERROR(Rohdaten!C265*100/Rohdaten!L265,"–")</f>
        <v>10</v>
      </c>
      <c r="I265" s="9" t="str">
        <f aca="false">IFERROR(Rohdaten!C265*100/Rohdaten!M265,"–")</f>
        <v>–</v>
      </c>
      <c r="J265" s="8" t="n">
        <f aca="false">IFERROR(Rohdaten!C265*100/Rohdaten!N265,"–")</f>
        <v>200</v>
      </c>
      <c r="K265" s="9" t="n">
        <f aca="false">IFERROR(Rohdaten!C265*100/Rohdaten!O265,"–")</f>
        <v>0.392156862745098</v>
      </c>
      <c r="L265" s="8" t="n">
        <f aca="false">IFERROR(Rohdaten!C265*100/Rohdaten!P265,"–")</f>
        <v>666.666666666667</v>
      </c>
      <c r="M265" s="8" t="n">
        <f aca="false">IFERROR(Rohdaten!C265*100/Rohdaten!Q265,"–")</f>
        <v>666.666666666667</v>
      </c>
      <c r="N265" s="8" t="n">
        <f aca="false">IFERROR(Rohdaten!C265*100/Rohdaten!R265,"–")</f>
        <v>133.333333333333</v>
      </c>
      <c r="O265" s="8" t="n">
        <f aca="false">IFERROR(Rohdaten!C265*100/Rohdaten!S265,"–")</f>
        <v>444.444444444444</v>
      </c>
      <c r="P265" s="9" t="n">
        <f aca="false">IFERROR(Rohdaten!C265*100/Rohdaten!T265,"–")</f>
        <v>0.547945205479452</v>
      </c>
      <c r="Q265" s="9" t="str">
        <f aca="false">IFERROR(Rohdaten!C265*100/Rohdaten!U265,"–")</f>
        <v>–</v>
      </c>
      <c r="R265" s="8" t="n">
        <f aca="false">IFERROR(Rohdaten!C265*100/Rohdaten!V265,"–")</f>
        <v>1.21212121212121</v>
      </c>
      <c r="S265" s="8" t="n">
        <f aca="false">IFERROR(Rohdaten!C265*100/Rohdaten!W265,"–")</f>
        <v>44.4444444444444</v>
      </c>
      <c r="T265" s="8" t="n">
        <f aca="false">IFERROR(Rohdaten!C265*100/Rohdaten!X265,"–")</f>
        <v>3.07692307692308</v>
      </c>
      <c r="U265" s="8" t="n">
        <f aca="false">IFERROR(Rohdaten!C265*100/Rohdaten!Y265,"–")</f>
        <v>200</v>
      </c>
      <c r="V265" s="8" t="n">
        <f aca="false">IFERROR(Rohdaten!C265*100/Rohdaten!Z265,"–")</f>
        <v>0.206185567010309</v>
      </c>
    </row>
    <row r="266" customFormat="false" ht="15" hidden="false" customHeight="true" outlineLevel="0" collapsed="false">
      <c r="A266" s="4" t="str">
        <f aca="false">Rohdaten!A266</f>
        <v>Lollo Rosso</v>
      </c>
      <c r="B266" s="8" t="n">
        <f aca="false">Rohdaten!C266</f>
        <v>0.4</v>
      </c>
      <c r="C266" s="8" t="n">
        <f aca="false">IFERROR(Rohdaten!C266*100/Rohdaten!G266,"–")</f>
        <v>2.5</v>
      </c>
      <c r="D266" s="8" t="n">
        <f aca="false">IFERROR(Rohdaten!C266*100/(Rohdaten!H266*9),"–")</f>
        <v>22.2222222222222</v>
      </c>
      <c r="E266" s="8" t="n">
        <f aca="false">IFERROR(Rohdaten!C266*100/(Rohdaten!I266*4),"–")</f>
        <v>7.14285714285714</v>
      </c>
      <c r="F266" s="8" t="n">
        <f aca="false">IFERROR(Rohdaten!C266*100/(Rohdaten!J266*4),"–")</f>
        <v>4.34782608695652</v>
      </c>
      <c r="G266" s="9" t="n">
        <f aca="false">IFERROR(Rohdaten!C266*100/Rohdaten!K266,"–")</f>
        <v>0.16</v>
      </c>
      <c r="H266" s="8" t="n">
        <f aca="false">IFERROR(Rohdaten!C266*100/Rohdaten!L266,"–")</f>
        <v>2.22222222222222</v>
      </c>
      <c r="I266" s="9" t="str">
        <f aca="false">IFERROR(Rohdaten!C266*100/Rohdaten!M266,"–")</f>
        <v>–</v>
      </c>
      <c r="J266" s="8" t="n">
        <f aca="false">IFERROR(Rohdaten!C266*100/Rohdaten!N266,"–")</f>
        <v>133.333333333333</v>
      </c>
      <c r="K266" s="9" t="n">
        <f aca="false">IFERROR(Rohdaten!C266*100/Rohdaten!O266,"–")</f>
        <v>0.317460317460317</v>
      </c>
      <c r="L266" s="8" t="n">
        <f aca="false">IFERROR(Rohdaten!C266*100/Rohdaten!P266,"–")</f>
        <v>666.666666666667</v>
      </c>
      <c r="M266" s="8" t="n">
        <f aca="false">IFERROR(Rohdaten!C266*100/Rohdaten!Q266,"–")</f>
        <v>666.666666666667</v>
      </c>
      <c r="N266" s="8" t="n">
        <f aca="false">IFERROR(Rohdaten!C266*100/Rohdaten!R266,"–")</f>
        <v>100</v>
      </c>
      <c r="O266" s="8" t="n">
        <f aca="false">IFERROR(Rohdaten!C266*100/Rohdaten!S266,"–")</f>
        <v>444.444444444444</v>
      </c>
      <c r="P266" s="9" t="n">
        <f aca="false">IFERROR(Rohdaten!C266*100/Rohdaten!T266,"–")</f>
        <v>1.05263157894737</v>
      </c>
      <c r="Q266" s="9" t="str">
        <f aca="false">IFERROR(Rohdaten!C266*100/Rohdaten!U266,"–")</f>
        <v>–</v>
      </c>
      <c r="R266" s="8" t="n">
        <f aca="false">IFERROR(Rohdaten!C266*100/Rohdaten!V266,"–")</f>
        <v>1.14285714285714</v>
      </c>
      <c r="S266" s="8" t="n">
        <f aca="false">IFERROR(Rohdaten!C266*100/Rohdaten!W266,"–")</f>
        <v>44.4444444444444</v>
      </c>
      <c r="T266" s="8" t="n">
        <f aca="false">IFERROR(Rohdaten!C266*100/Rohdaten!X266,"–")</f>
        <v>4</v>
      </c>
      <c r="U266" s="8" t="n">
        <f aca="false">IFERROR(Rohdaten!C266*100/Rohdaten!Y266,"–")</f>
        <v>200</v>
      </c>
      <c r="V266" s="8" t="n">
        <f aca="false">IFERROR(Rohdaten!C266*100/Rohdaten!Z266,"–")</f>
        <v>0.166666666666667</v>
      </c>
    </row>
    <row r="267" customFormat="false" ht="15" hidden="false" customHeight="true" outlineLevel="0" collapsed="false">
      <c r="A267" s="4" t="str">
        <f aca="false">Rohdaten!A267</f>
        <v>Eichblattsalat</v>
      </c>
      <c r="B267" s="8" t="n">
        <f aca="false">Rohdaten!C267</f>
        <v>0.4</v>
      </c>
      <c r="C267" s="8" t="n">
        <f aca="false">IFERROR(Rohdaten!C267*100/Rohdaten!G267,"–")</f>
        <v>2.66666666666667</v>
      </c>
      <c r="D267" s="8" t="n">
        <f aca="false">IFERROR(Rohdaten!C267*100/(Rohdaten!H267*9),"–")</f>
        <v>22.2222222222222</v>
      </c>
      <c r="E267" s="8" t="n">
        <f aca="false">IFERROR(Rohdaten!C267*100/(Rohdaten!I267*4),"–")</f>
        <v>7.69230769230769</v>
      </c>
      <c r="F267" s="8" t="n">
        <f aca="false">IFERROR(Rohdaten!C267*100/(Rohdaten!J267*4),"–")</f>
        <v>4.34782608695652</v>
      </c>
      <c r="G267" s="9" t="n">
        <f aca="false">IFERROR(Rohdaten!C267*100/Rohdaten!K267,"–")</f>
        <v>0.2</v>
      </c>
      <c r="H267" s="8" t="n">
        <f aca="false">IFERROR(Rohdaten!C267*100/Rohdaten!L267,"–")</f>
        <v>4</v>
      </c>
      <c r="I267" s="9" t="str">
        <f aca="false">IFERROR(Rohdaten!C267*100/Rohdaten!M267,"–")</f>
        <v>–</v>
      </c>
      <c r="J267" s="8" t="n">
        <f aca="false">IFERROR(Rohdaten!C267*100/Rohdaten!N267,"–")</f>
        <v>133.333333333333</v>
      </c>
      <c r="K267" s="9" t="n">
        <f aca="false">IFERROR(Rohdaten!C267*100/Rohdaten!O267,"–")</f>
        <v>0.333333333333333</v>
      </c>
      <c r="L267" s="8" t="n">
        <f aca="false">IFERROR(Rohdaten!C267*100/Rohdaten!P267,"–")</f>
        <v>666.666666666667</v>
      </c>
      <c r="M267" s="8" t="n">
        <f aca="false">IFERROR(Rohdaten!C267*100/Rohdaten!Q267,"–")</f>
        <v>666.666666666667</v>
      </c>
      <c r="N267" s="8" t="n">
        <f aca="false">IFERROR(Rohdaten!C267*100/Rohdaten!R267,"–")</f>
        <v>133.333333333333</v>
      </c>
      <c r="O267" s="8" t="n">
        <f aca="false">IFERROR(Rohdaten!C267*100/Rohdaten!S267,"–")</f>
        <v>444.444444444444</v>
      </c>
      <c r="P267" s="9" t="n">
        <f aca="false">IFERROR(Rohdaten!C267*100/Rohdaten!T267,"–")</f>
        <v>1</v>
      </c>
      <c r="Q267" s="9" t="str">
        <f aca="false">IFERROR(Rohdaten!C267*100/Rohdaten!U267,"–")</f>
        <v>–</v>
      </c>
      <c r="R267" s="8" t="n">
        <f aca="false">IFERROR(Rohdaten!C267*100/Rohdaten!V267,"–")</f>
        <v>1.21212121212121</v>
      </c>
      <c r="S267" s="8" t="n">
        <f aca="false">IFERROR(Rohdaten!C267*100/Rohdaten!W267,"–")</f>
        <v>50</v>
      </c>
      <c r="T267" s="8" t="n">
        <f aca="false">IFERROR(Rohdaten!C267*100/Rohdaten!X267,"–")</f>
        <v>4</v>
      </c>
      <c r="U267" s="8" t="n">
        <f aca="false">IFERROR(Rohdaten!C267*100/Rohdaten!Y267,"–")</f>
        <v>200</v>
      </c>
      <c r="V267" s="8" t="n">
        <f aca="false">IFERROR(Rohdaten!C267*100/Rohdaten!Z267,"–")</f>
        <v>0.181818181818182</v>
      </c>
    </row>
    <row r="268" customFormat="false" ht="15" hidden="false" customHeight="true" outlineLevel="0" collapsed="false">
      <c r="A268" s="4" t="str">
        <f aca="false">Rohdaten!A268</f>
        <v>Kirschen</v>
      </c>
      <c r="B268" s="8" t="n">
        <f aca="false">Rohdaten!C268</f>
        <v>0.6</v>
      </c>
      <c r="C268" s="8" t="n">
        <f aca="false">IFERROR(Rohdaten!C268*100/Rohdaten!G268,"–")</f>
        <v>0.952380952380952</v>
      </c>
      <c r="D268" s="8" t="n">
        <f aca="false">IFERROR(Rohdaten!C268*100/(Rohdaten!H268*9),"–")</f>
        <v>33.3333333333333</v>
      </c>
      <c r="E268" s="8" t="n">
        <f aca="false">IFERROR(Rohdaten!C268*100/(Rohdaten!I268*4),"–")</f>
        <v>13.6363636363636</v>
      </c>
      <c r="F268" s="8" t="n">
        <f aca="false">IFERROR(Rohdaten!C268*100/(Rohdaten!J268*4),"–")</f>
        <v>0.9375</v>
      </c>
      <c r="G268" s="9" t="n">
        <f aca="false">IFERROR(Rohdaten!C268*100/Rohdaten!K268,"–")</f>
        <v>20</v>
      </c>
      <c r="H268" s="8" t="n">
        <f aca="false">IFERROR(Rohdaten!C268*100/Rohdaten!L268,"–")</f>
        <v>8.57142857142857</v>
      </c>
      <c r="I268" s="9" t="str">
        <f aca="false">IFERROR(Rohdaten!C268*100/Rohdaten!M268,"–")</f>
        <v>–</v>
      </c>
      <c r="J268" s="8" t="n">
        <f aca="false">IFERROR(Rohdaten!C268*100/Rohdaten!N268,"–")</f>
        <v>600</v>
      </c>
      <c r="K268" s="9" t="n">
        <f aca="false">IFERROR(Rohdaten!C268*100/Rohdaten!O268,"–")</f>
        <v>28.5714285714286</v>
      </c>
      <c r="L268" s="8" t="n">
        <f aca="false">IFERROR(Rohdaten!C268*100/Rohdaten!P268,"–")</f>
        <v>2000</v>
      </c>
      <c r="M268" s="8" t="n">
        <f aca="false">IFERROR(Rohdaten!C268*100/Rohdaten!Q268,"–")</f>
        <v>2000</v>
      </c>
      <c r="N268" s="8" t="n">
        <f aca="false">IFERROR(Rohdaten!C268*100/Rohdaten!R268,"–")</f>
        <v>300</v>
      </c>
      <c r="O268" s="8" t="n">
        <f aca="false">IFERROR(Rohdaten!C268*100/Rohdaten!S268,"–")</f>
        <v>1200</v>
      </c>
      <c r="P268" s="9" t="n">
        <f aca="false">IFERROR(Rohdaten!C268*100/Rohdaten!T268,"–")</f>
        <v>15</v>
      </c>
      <c r="Q268" s="9" t="str">
        <f aca="false">IFERROR(Rohdaten!C268*100/Rohdaten!U268,"–")</f>
        <v>–</v>
      </c>
      <c r="R268" s="8" t="n">
        <f aca="false">IFERROR(Rohdaten!C268*100/Rohdaten!V268,"–")</f>
        <v>4.61538461538462</v>
      </c>
      <c r="S268" s="8" t="n">
        <f aca="false">IFERROR(Rohdaten!C268*100/Rohdaten!W268,"–")</f>
        <v>150</v>
      </c>
      <c r="T268" s="8" t="n">
        <f aca="false">IFERROR(Rohdaten!C268*100/Rohdaten!X268,"–")</f>
        <v>5.45454545454545</v>
      </c>
      <c r="U268" s="8" t="n">
        <f aca="false">IFERROR(Rohdaten!C268*100/Rohdaten!Y268,"–")</f>
        <v>600</v>
      </c>
      <c r="V268" s="8" t="n">
        <f aca="false">IFERROR(Rohdaten!C268*100/Rohdaten!Z268,"–")</f>
        <v>0.27027027027027</v>
      </c>
    </row>
    <row r="269" customFormat="false" ht="15" hidden="false" customHeight="true" outlineLevel="0" collapsed="false">
      <c r="A269" s="4" t="str">
        <f aca="false">Rohdaten!A269</f>
        <v>Pflaumen/Zwetschgen</v>
      </c>
      <c r="B269" s="8" t="n">
        <f aca="false">Rohdaten!C269</f>
        <v>0.4</v>
      </c>
      <c r="C269" s="8" t="n">
        <f aca="false">IFERROR(Rohdaten!C269*100/Rohdaten!G269,"–")</f>
        <v>0.869565217391304</v>
      </c>
      <c r="D269" s="8" t="n">
        <f aca="false">IFERROR(Rohdaten!C269*100/(Rohdaten!H269*9),"–")</f>
        <v>14.8148148148148</v>
      </c>
      <c r="E269" s="8" t="n">
        <f aca="false">IFERROR(Rohdaten!C269*100/(Rohdaten!I269*4),"–")</f>
        <v>14.2857142857143</v>
      </c>
      <c r="F269" s="8" t="n">
        <f aca="false">IFERROR(Rohdaten!C269*100/(Rohdaten!J269*4),"–")</f>
        <v>0.909090909090909</v>
      </c>
      <c r="G269" s="9" t="n">
        <f aca="false">IFERROR(Rohdaten!C269*100/Rohdaten!K269,"–")</f>
        <v>2.35294117647059</v>
      </c>
      <c r="H269" s="8" t="n">
        <f aca="false">IFERROR(Rohdaten!C269*100/Rohdaten!L269,"–")</f>
        <v>4.21052631578947</v>
      </c>
      <c r="I269" s="9" t="str">
        <f aca="false">IFERROR(Rohdaten!C269*100/Rohdaten!M269,"–")</f>
        <v>–</v>
      </c>
      <c r="J269" s="8" t="n">
        <f aca="false">IFERROR(Rohdaten!C269*100/Rohdaten!N269,"–")</f>
        <v>133.333333333333</v>
      </c>
      <c r="K269" s="9" t="n">
        <f aca="false">IFERROR(Rohdaten!C269*100/Rohdaten!O269,"–")</f>
        <v>6.25</v>
      </c>
      <c r="L269" s="8" t="n">
        <f aca="false">IFERROR(Rohdaten!C269*100/Rohdaten!P269,"–")</f>
        <v>1333.33333333333</v>
      </c>
      <c r="M269" s="8" t="n">
        <f aca="false">IFERROR(Rohdaten!C269*100/Rohdaten!Q269,"–")</f>
        <v>1333.33333333333</v>
      </c>
      <c r="N269" s="8" t="n">
        <f aca="false">IFERROR(Rohdaten!C269*100/Rohdaten!R269,"–")</f>
        <v>100</v>
      </c>
      <c r="O269" s="8" t="n">
        <f aca="false">IFERROR(Rohdaten!C269*100/Rohdaten!S269,"–")</f>
        <v>1333.33333333333</v>
      </c>
      <c r="P269" s="9" t="n">
        <f aca="false">IFERROR(Rohdaten!C269*100/Rohdaten!T269,"–")</f>
        <v>8</v>
      </c>
      <c r="Q269" s="9" t="str">
        <f aca="false">IFERROR(Rohdaten!C269*100/Rohdaten!U269,"–")</f>
        <v>–</v>
      </c>
      <c r="R269" s="8" t="n">
        <f aca="false">IFERROR(Rohdaten!C269*100/Rohdaten!V269,"–")</f>
        <v>6.66666666666667</v>
      </c>
      <c r="S269" s="8" t="n">
        <f aca="false">IFERROR(Rohdaten!C269*100/Rohdaten!W269,"–")</f>
        <v>200</v>
      </c>
      <c r="T269" s="8" t="n">
        <f aca="false">IFERROR(Rohdaten!C269*100/Rohdaten!X269,"–")</f>
        <v>5.71428571428571</v>
      </c>
      <c r="U269" s="8" t="n">
        <f aca="false">IFERROR(Rohdaten!C269*100/Rohdaten!Y269,"–")</f>
        <v>400</v>
      </c>
      <c r="V269" s="8" t="n">
        <f aca="false">IFERROR(Rohdaten!C269*100/Rohdaten!Z269,"–")</f>
        <v>0.254777070063694</v>
      </c>
    </row>
    <row r="270" customFormat="false" ht="15" hidden="false" customHeight="true" outlineLevel="0" collapsed="false">
      <c r="A270" s="4" t="str">
        <f aca="false">Rohdaten!A270</f>
        <v>Mirabellen</v>
      </c>
      <c r="B270" s="8" t="n">
        <f aca="false">Rohdaten!C270</f>
        <v>0.4</v>
      </c>
      <c r="C270" s="8" t="n">
        <f aca="false">IFERROR(Rohdaten!C270*100/Rohdaten!G270,"–")</f>
        <v>0.727272727272727</v>
      </c>
      <c r="D270" s="8" t="n">
        <f aca="false">IFERROR(Rohdaten!C270*100/(Rohdaten!H270*9),"–")</f>
        <v>14.8148148148148</v>
      </c>
      <c r="E270" s="8" t="n">
        <f aca="false">IFERROR(Rohdaten!C270*100/(Rohdaten!I270*4),"–")</f>
        <v>16.6666666666667</v>
      </c>
      <c r="F270" s="8" t="n">
        <f aca="false">IFERROR(Rohdaten!C270*100/(Rohdaten!J270*4),"–")</f>
        <v>0.769230769230769</v>
      </c>
      <c r="G270" s="9" t="n">
        <f aca="false">IFERROR(Rohdaten!C270*100/Rohdaten!K270,"–")</f>
        <v>2</v>
      </c>
      <c r="H270" s="8" t="n">
        <f aca="false">IFERROR(Rohdaten!C270*100/Rohdaten!L270,"–")</f>
        <v>4</v>
      </c>
      <c r="I270" s="9" t="str">
        <f aca="false">IFERROR(Rohdaten!C270*100/Rohdaten!M270,"–")</f>
        <v>–</v>
      </c>
      <c r="J270" s="8" t="n">
        <f aca="false">IFERROR(Rohdaten!C270*100/Rohdaten!N270,"–")</f>
        <v>100</v>
      </c>
      <c r="K270" s="9" t="n">
        <f aca="false">IFERROR(Rohdaten!C270*100/Rohdaten!O270,"–")</f>
        <v>5.71428571428571</v>
      </c>
      <c r="L270" s="8" t="n">
        <f aca="false">IFERROR(Rohdaten!C270*100/Rohdaten!P270,"–")</f>
        <v>1333.33333333333</v>
      </c>
      <c r="M270" s="8" t="n">
        <f aca="false">IFERROR(Rohdaten!C270*100/Rohdaten!Q270,"–")</f>
        <v>1333.33333333333</v>
      </c>
      <c r="N270" s="8" t="n">
        <f aca="false">IFERROR(Rohdaten!C270*100/Rohdaten!R270,"–")</f>
        <v>100</v>
      </c>
      <c r="O270" s="8" t="n">
        <f aca="false">IFERROR(Rohdaten!C270*100/Rohdaten!S270,"–")</f>
        <v>1333.33333333333</v>
      </c>
      <c r="P270" s="9" t="n">
        <f aca="false">IFERROR(Rohdaten!C270*100/Rohdaten!T270,"–")</f>
        <v>8</v>
      </c>
      <c r="Q270" s="9" t="str">
        <f aca="false">IFERROR(Rohdaten!C270*100/Rohdaten!U270,"–")</f>
        <v>–</v>
      </c>
      <c r="R270" s="8" t="n">
        <f aca="false">IFERROR(Rohdaten!C270*100/Rohdaten!V270,"–")</f>
        <v>5</v>
      </c>
      <c r="S270" s="8" t="n">
        <f aca="false">IFERROR(Rohdaten!C270*100/Rohdaten!W270,"–")</f>
        <v>200</v>
      </c>
      <c r="T270" s="8" t="n">
        <f aca="false">IFERROR(Rohdaten!C270*100/Rohdaten!X270,"–")</f>
        <v>5</v>
      </c>
      <c r="U270" s="8" t="n">
        <f aca="false">IFERROR(Rohdaten!C270*100/Rohdaten!Y270,"–")</f>
        <v>400</v>
      </c>
      <c r="V270" s="8" t="n">
        <f aca="false">IFERROR(Rohdaten!C270*100/Rohdaten!Z270,"–")</f>
        <v>0.25</v>
      </c>
    </row>
    <row r="271" customFormat="false" ht="15" hidden="false" customHeight="true" outlineLevel="0" collapsed="false">
      <c r="A271" s="4" t="str">
        <f aca="false">Rohdaten!A271</f>
        <v>Aprikosen, frisch</v>
      </c>
      <c r="B271" s="8" t="n">
        <f aca="false">Rohdaten!C271</f>
        <v>0.5</v>
      </c>
      <c r="C271" s="8" t="n">
        <f aca="false">IFERROR(Rohdaten!C271*100/Rohdaten!G271,"–")</f>
        <v>1.04166666666667</v>
      </c>
      <c r="D271" s="8" t="n">
        <f aca="false">IFERROR(Rohdaten!C271*100/(Rohdaten!H271*9),"–")</f>
        <v>13.8888888888889</v>
      </c>
      <c r="E271" s="8" t="n">
        <f aca="false">IFERROR(Rohdaten!C271*100/(Rohdaten!I271*4),"–")</f>
        <v>8.92857142857143</v>
      </c>
      <c r="F271" s="8" t="n">
        <f aca="false">IFERROR(Rohdaten!C271*100/(Rohdaten!J271*4),"–")</f>
        <v>1.13636363636364</v>
      </c>
      <c r="G271" s="9" t="n">
        <f aca="false">IFERROR(Rohdaten!C271*100/Rohdaten!K271,"–")</f>
        <v>0.520833333333333</v>
      </c>
      <c r="H271" s="8" t="n">
        <f aca="false">IFERROR(Rohdaten!C271*100/Rohdaten!L271,"–")</f>
        <v>5</v>
      </c>
      <c r="I271" s="9" t="str">
        <f aca="false">IFERROR(Rohdaten!C271*100/Rohdaten!M271,"–")</f>
        <v>–</v>
      </c>
      <c r="J271" s="8" t="n">
        <f aca="false">IFERROR(Rohdaten!C271*100/Rohdaten!N271,"–")</f>
        <v>55.5555555555556</v>
      </c>
      <c r="K271" s="9" t="n">
        <f aca="false">IFERROR(Rohdaten!C271*100/Rohdaten!O271,"–")</f>
        <v>15.1515151515152</v>
      </c>
      <c r="L271" s="8" t="n">
        <f aca="false">IFERROR(Rohdaten!C271*100/Rohdaten!P271,"–")</f>
        <v>1666.66666666667</v>
      </c>
      <c r="M271" s="8" t="n">
        <f aca="false">IFERROR(Rohdaten!C271*100/Rohdaten!Q271,"–")</f>
        <v>1250</v>
      </c>
      <c r="N271" s="8" t="n">
        <f aca="false">IFERROR(Rohdaten!C271*100/Rohdaten!R271,"–")</f>
        <v>83.3333333333333</v>
      </c>
      <c r="O271" s="8" t="n">
        <f aca="false">IFERROR(Rohdaten!C271*100/Rohdaten!S271,"–")</f>
        <v>1000</v>
      </c>
      <c r="P271" s="9" t="n">
        <f aca="false">IFERROR(Rohdaten!C271*100/Rohdaten!T271,"–")</f>
        <v>5.55555555555556</v>
      </c>
      <c r="Q271" s="9" t="str">
        <f aca="false">IFERROR(Rohdaten!C271*100/Rohdaten!U271,"–")</f>
        <v>–</v>
      </c>
      <c r="R271" s="8" t="n">
        <f aca="false">IFERROR(Rohdaten!C271*100/Rohdaten!V271,"–")</f>
        <v>3.84615384615385</v>
      </c>
      <c r="S271" s="8" t="n">
        <f aca="false">IFERROR(Rohdaten!C271*100/Rohdaten!W271,"–")</f>
        <v>125</v>
      </c>
      <c r="T271" s="8" t="n">
        <f aca="false">IFERROR(Rohdaten!C271*100/Rohdaten!X271,"–")</f>
        <v>5</v>
      </c>
      <c r="U271" s="8" t="n">
        <f aca="false">IFERROR(Rohdaten!C271*100/Rohdaten!Y271,"–")</f>
        <v>250</v>
      </c>
      <c r="V271" s="8" t="n">
        <f aca="false">IFERROR(Rohdaten!C271*100/Rohdaten!Z271,"–")</f>
        <v>0.193050193050193</v>
      </c>
    </row>
    <row r="272" customFormat="false" ht="15" hidden="false" customHeight="true" outlineLevel="0" collapsed="false">
      <c r="A272" s="4" t="str">
        <f aca="false">Rohdaten!A272</f>
        <v>Quitte</v>
      </c>
      <c r="B272" s="8" t="n">
        <f aca="false">Rohdaten!C272</f>
        <v>0.4</v>
      </c>
      <c r="C272" s="8" t="n">
        <f aca="false">IFERROR(Rohdaten!C272*100/Rohdaten!G272,"–")</f>
        <v>0.701754385964912</v>
      </c>
      <c r="D272" s="8" t="n">
        <f aca="false">IFERROR(Rohdaten!C272*100/(Rohdaten!H272*9),"–")</f>
        <v>44.4444444444444</v>
      </c>
      <c r="E272" s="8" t="n">
        <f aca="false">IFERROR(Rohdaten!C272*100/(Rohdaten!I272*4),"–")</f>
        <v>25</v>
      </c>
      <c r="F272" s="8" t="n">
        <f aca="false">IFERROR(Rohdaten!C272*100/(Rohdaten!J272*4),"–")</f>
        <v>0.666666666666667</v>
      </c>
      <c r="G272" s="9" t="n">
        <f aca="false">IFERROR(Rohdaten!C272*100/Rohdaten!K272,"–")</f>
        <v>10</v>
      </c>
      <c r="H272" s="8" t="n">
        <f aca="false">IFERROR(Rohdaten!C272*100/Rohdaten!L272,"–")</f>
        <v>2.66666666666667</v>
      </c>
      <c r="I272" s="9" t="str">
        <f aca="false">IFERROR(Rohdaten!C272*100/Rohdaten!M272,"–")</f>
        <v>–</v>
      </c>
      <c r="J272" s="8" t="n">
        <f aca="false">IFERROR(Rohdaten!C272*100/Rohdaten!N272,"–")</f>
        <v>100</v>
      </c>
      <c r="K272" s="9" t="str">
        <f aca="false">IFERROR(Rohdaten!C272*100/Rohdaten!O272,"–")</f>
        <v>–</v>
      </c>
      <c r="L272" s="8" t="n">
        <f aca="false">IFERROR(Rohdaten!C272*100/Rohdaten!P272,"–")</f>
        <v>2000</v>
      </c>
      <c r="M272" s="8" t="n">
        <f aca="false">IFERROR(Rohdaten!C272*100/Rohdaten!Q272,"–")</f>
        <v>1333.33333333333</v>
      </c>
      <c r="N272" s="8" t="n">
        <f aca="false">IFERROR(Rohdaten!C272*100/Rohdaten!R272,"–")</f>
        <v>200</v>
      </c>
      <c r="O272" s="8" t="n">
        <f aca="false">IFERROR(Rohdaten!C272*100/Rohdaten!S272,"–")</f>
        <v>1000</v>
      </c>
      <c r="P272" s="9" t="n">
        <f aca="false">IFERROR(Rohdaten!C272*100/Rohdaten!T272,"–")</f>
        <v>13.3333333333333</v>
      </c>
      <c r="Q272" s="9" t="str">
        <f aca="false">IFERROR(Rohdaten!C272*100/Rohdaten!U272,"–")</f>
        <v>–</v>
      </c>
      <c r="R272" s="8" t="n">
        <f aca="false">IFERROR(Rohdaten!C272*100/Rohdaten!V272,"–")</f>
        <v>3.63636363636364</v>
      </c>
      <c r="S272" s="8" t="n">
        <f aca="false">IFERROR(Rohdaten!C272*100/Rohdaten!W272,"–")</f>
        <v>57.1428571428571</v>
      </c>
      <c r="T272" s="8" t="n">
        <f aca="false">IFERROR(Rohdaten!C272*100/Rohdaten!X272,"–")</f>
        <v>5</v>
      </c>
      <c r="U272" s="8" t="n">
        <f aca="false">IFERROR(Rohdaten!C272*100/Rohdaten!Y272,"–")</f>
        <v>1000</v>
      </c>
      <c r="V272" s="8" t="n">
        <f aca="false">IFERROR(Rohdaten!C272*100/Rohdaten!Z272,"–")</f>
        <v>0.203045685279188</v>
      </c>
    </row>
    <row r="273" customFormat="false" ht="15" hidden="false" customHeight="true" outlineLevel="0" collapsed="false">
      <c r="A273" s="4" t="str">
        <f aca="false">Rohdaten!A273</f>
        <v>Holunderbeeren</v>
      </c>
      <c r="B273" s="8" t="n">
        <f aca="false">Rohdaten!C273</f>
        <v>0.4</v>
      </c>
      <c r="C273" s="8" t="n">
        <f aca="false">IFERROR(Rohdaten!C273*100/Rohdaten!G273,"–")</f>
        <v>0.547945205479452</v>
      </c>
      <c r="D273" s="8" t="n">
        <f aca="false">IFERROR(Rohdaten!C273*100/(Rohdaten!H273*9),"–")</f>
        <v>8.88888888888889</v>
      </c>
      <c r="E273" s="8" t="n">
        <f aca="false">IFERROR(Rohdaten!C273*100/(Rohdaten!I273*4),"–")</f>
        <v>14.2857142857143</v>
      </c>
      <c r="F273" s="8" t="n">
        <f aca="false">IFERROR(Rohdaten!C273*100/(Rohdaten!J273*4),"–")</f>
        <v>0.555555555555556</v>
      </c>
      <c r="G273" s="9" t="n">
        <f aca="false">IFERROR(Rohdaten!C273*100/Rohdaten!K273,"–")</f>
        <v>1.33333333333333</v>
      </c>
      <c r="H273" s="8" t="n">
        <f aca="false">IFERROR(Rohdaten!C273*100/Rohdaten!L273,"–")</f>
        <v>1.11111111111111</v>
      </c>
      <c r="I273" s="9" t="str">
        <f aca="false">IFERROR(Rohdaten!C273*100/Rohdaten!M273,"–")</f>
        <v>–</v>
      </c>
      <c r="J273" s="8" t="n">
        <f aca="false">IFERROR(Rohdaten!C273*100/Rohdaten!N273,"–")</f>
        <v>23.5294117647059</v>
      </c>
      <c r="K273" s="9" t="str">
        <f aca="false">IFERROR(Rohdaten!C273*100/Rohdaten!O273,"–")</f>
        <v>–</v>
      </c>
      <c r="L273" s="8" t="n">
        <f aca="false">IFERROR(Rohdaten!C273*100/Rohdaten!P273,"–")</f>
        <v>571.428571428571</v>
      </c>
      <c r="M273" s="8" t="n">
        <f aca="false">IFERROR(Rohdaten!C273*100/Rohdaten!Q273,"–")</f>
        <v>666.666666666667</v>
      </c>
      <c r="N273" s="8" t="n">
        <f aca="false">IFERROR(Rohdaten!C273*100/Rohdaten!R273,"–")</f>
        <v>80</v>
      </c>
      <c r="O273" s="8" t="n">
        <f aca="false">IFERROR(Rohdaten!C273*100/Rohdaten!S273,"–")</f>
        <v>173.913043478261</v>
      </c>
      <c r="P273" s="9" t="n">
        <f aca="false">IFERROR(Rohdaten!C273*100/Rohdaten!T273,"–")</f>
        <v>6.66666666666667</v>
      </c>
      <c r="Q273" s="9" t="str">
        <f aca="false">IFERROR(Rohdaten!C273*100/Rohdaten!U273,"–")</f>
        <v>–</v>
      </c>
      <c r="R273" s="8" t="n">
        <f aca="false">IFERROR(Rohdaten!C273*100/Rohdaten!V273,"–")</f>
        <v>1.05263157894737</v>
      </c>
      <c r="S273" s="8" t="n">
        <f aca="false">IFERROR(Rohdaten!C273*100/Rohdaten!W273,"–")</f>
        <v>25</v>
      </c>
      <c r="T273" s="8" t="n">
        <f aca="false">IFERROR(Rohdaten!C273*100/Rohdaten!X273,"–")</f>
        <v>8</v>
      </c>
      <c r="U273" s="8" t="n">
        <f aca="false">IFERROR(Rohdaten!C273*100/Rohdaten!Y273,"–")</f>
        <v>400</v>
      </c>
      <c r="V273" s="8" t="n">
        <f aca="false">IFERROR(Rohdaten!C273*100/Rohdaten!Z273,"–")</f>
        <v>0.142857142857143</v>
      </c>
    </row>
    <row r="274" customFormat="false" ht="15" hidden="false" customHeight="true" outlineLevel="0" collapsed="false">
      <c r="A274" s="4" t="str">
        <f aca="false">Rohdaten!A274</f>
        <v>Johannisbeeren, rot</v>
      </c>
      <c r="B274" s="8" t="n">
        <f aca="false">Rohdaten!C274</f>
        <v>0.4</v>
      </c>
      <c r="C274" s="8" t="n">
        <f aca="false">IFERROR(Rohdaten!C274*100/Rohdaten!G274,"–")</f>
        <v>0.714285714285714</v>
      </c>
      <c r="D274" s="8" t="n">
        <f aca="false">IFERROR(Rohdaten!C274*100/(Rohdaten!H274*9),"–")</f>
        <v>22.2222222222222</v>
      </c>
      <c r="E274" s="8" t="n">
        <f aca="false">IFERROR(Rohdaten!C274*100/(Rohdaten!I274*4),"–")</f>
        <v>7.14285714285714</v>
      </c>
      <c r="F274" s="8" t="n">
        <f aca="false">IFERROR(Rohdaten!C274*100/(Rohdaten!J274*4),"–")</f>
        <v>0.735294117647059</v>
      </c>
      <c r="G274" s="9" t="n">
        <f aca="false">IFERROR(Rohdaten!C274*100/Rohdaten!K274,"–")</f>
        <v>3.33333333333333</v>
      </c>
      <c r="H274" s="8" t="n">
        <f aca="false">IFERROR(Rohdaten!C274*100/Rohdaten!L274,"–")</f>
        <v>0.975609756097561</v>
      </c>
      <c r="I274" s="9" t="str">
        <f aca="false">IFERROR(Rohdaten!C274*100/Rohdaten!M274,"–")</f>
        <v>–</v>
      </c>
      <c r="J274" s="8" t="n">
        <f aca="false">IFERROR(Rohdaten!C274*100/Rohdaten!N274,"–")</f>
        <v>400</v>
      </c>
      <c r="K274" s="9" t="n">
        <f aca="false">IFERROR(Rohdaten!C274*100/Rohdaten!O274,"–")</f>
        <v>3.63636363636364</v>
      </c>
      <c r="L274" s="8" t="n">
        <f aca="false">IFERROR(Rohdaten!C274*100/Rohdaten!P274,"–")</f>
        <v>800</v>
      </c>
      <c r="M274" s="8" t="n">
        <f aca="false">IFERROR(Rohdaten!C274*100/Rohdaten!Q274,"–")</f>
        <v>800</v>
      </c>
      <c r="N274" s="8" t="n">
        <f aca="false">IFERROR(Rohdaten!C274*100/Rohdaten!R274,"–")</f>
        <v>133.333333333333</v>
      </c>
      <c r="O274" s="8" t="n">
        <f aca="false">IFERROR(Rohdaten!C274*100/Rohdaten!S274,"–")</f>
        <v>571.428571428571</v>
      </c>
      <c r="P274" s="9" t="n">
        <f aca="false">IFERROR(Rohdaten!C274*100/Rohdaten!T274,"–")</f>
        <v>5</v>
      </c>
      <c r="Q274" s="9" t="str">
        <f aca="false">IFERROR(Rohdaten!C274*100/Rohdaten!U274,"–")</f>
        <v>–</v>
      </c>
      <c r="R274" s="8" t="n">
        <f aca="false">IFERROR(Rohdaten!C274*100/Rohdaten!V274,"–")</f>
        <v>1.21212121212121</v>
      </c>
      <c r="S274" s="8" t="n">
        <f aca="false">IFERROR(Rohdaten!C274*100/Rohdaten!W274,"–")</f>
        <v>40</v>
      </c>
      <c r="T274" s="8" t="n">
        <f aca="false">IFERROR(Rohdaten!C274*100/Rohdaten!X274,"–")</f>
        <v>3.07692307692308</v>
      </c>
      <c r="U274" s="8" t="n">
        <f aca="false">IFERROR(Rohdaten!C274*100/Rohdaten!Y274,"–")</f>
        <v>200</v>
      </c>
      <c r="V274" s="8" t="n">
        <f aca="false">IFERROR(Rohdaten!C274*100/Rohdaten!Z274,"–")</f>
        <v>0.145454545454545</v>
      </c>
    </row>
    <row r="275" customFormat="false" ht="15" hidden="false" customHeight="true" outlineLevel="0" collapsed="false">
      <c r="A275" s="4" t="str">
        <f aca="false">Rohdaten!A275</f>
        <v>Johannisbeeren, schwarz</v>
      </c>
      <c r="B275" s="8" t="n">
        <f aca="false">Rohdaten!C275</f>
        <v>0.4</v>
      </c>
      <c r="C275" s="8" t="n">
        <f aca="false">IFERROR(Rohdaten!C275*100/Rohdaten!G275,"–")</f>
        <v>0.634920634920635</v>
      </c>
      <c r="D275" s="8" t="n">
        <f aca="false">IFERROR(Rohdaten!C275*100/(Rohdaten!H275*9),"–")</f>
        <v>11.1111111111111</v>
      </c>
      <c r="E275" s="8" t="n">
        <f aca="false">IFERROR(Rohdaten!C275*100/(Rohdaten!I275*4),"–")</f>
        <v>7.14285714285714</v>
      </c>
      <c r="F275" s="8" t="n">
        <f aca="false">IFERROR(Rohdaten!C275*100/(Rohdaten!J275*4),"–")</f>
        <v>0.666666666666667</v>
      </c>
      <c r="G275" s="9" t="n">
        <f aca="false">IFERROR(Rohdaten!C275*100/Rohdaten!K275,"–")</f>
        <v>1.73913043478261</v>
      </c>
      <c r="H275" s="8" t="n">
        <f aca="false">IFERROR(Rohdaten!C275*100/Rohdaten!L275,"–")</f>
        <v>0.220994475138122</v>
      </c>
      <c r="I275" s="9" t="str">
        <f aca="false">IFERROR(Rohdaten!C275*100/Rohdaten!M275,"–")</f>
        <v>–</v>
      </c>
      <c r="J275" s="8" t="n">
        <f aca="false">IFERROR(Rohdaten!C275*100/Rohdaten!N275,"–")</f>
        <v>40</v>
      </c>
      <c r="K275" s="9" t="str">
        <f aca="false">IFERROR(Rohdaten!C275*100/Rohdaten!O275,"–")</f>
        <v>–</v>
      </c>
      <c r="L275" s="8" t="n">
        <f aca="false">IFERROR(Rohdaten!C275*100/Rohdaten!P275,"–")</f>
        <v>800</v>
      </c>
      <c r="M275" s="8" t="n">
        <f aca="false">IFERROR(Rohdaten!C275*100/Rohdaten!Q275,"–")</f>
        <v>800</v>
      </c>
      <c r="N275" s="8" t="n">
        <f aca="false">IFERROR(Rohdaten!C275*100/Rohdaten!R275,"–")</f>
        <v>133.333333333333</v>
      </c>
      <c r="O275" s="8" t="n">
        <f aca="false">IFERROR(Rohdaten!C275*100/Rohdaten!S275,"–")</f>
        <v>571.428571428571</v>
      </c>
      <c r="P275" s="9" t="n">
        <f aca="false">IFERROR(Rohdaten!C275*100/Rohdaten!T275,"–")</f>
        <v>5</v>
      </c>
      <c r="Q275" s="9" t="str">
        <f aca="false">IFERROR(Rohdaten!C275*100/Rohdaten!U275,"–")</f>
        <v>–</v>
      </c>
      <c r="R275" s="8" t="n">
        <f aca="false">IFERROR(Rohdaten!C275*100/Rohdaten!V275,"–")</f>
        <v>0.727272727272727</v>
      </c>
      <c r="S275" s="8" t="n">
        <f aca="false">IFERROR(Rohdaten!C275*100/Rohdaten!W275,"–")</f>
        <v>26.6666666666667</v>
      </c>
      <c r="T275" s="8" t="n">
        <f aca="false">IFERROR(Rohdaten!C275*100/Rohdaten!X275,"–")</f>
        <v>1.66666666666667</v>
      </c>
      <c r="U275" s="8" t="n">
        <f aca="false">IFERROR(Rohdaten!C275*100/Rohdaten!Y275,"–")</f>
        <v>133.333333333333</v>
      </c>
      <c r="V275" s="8" t="n">
        <f aca="false">IFERROR(Rohdaten!C275*100/Rohdaten!Z275,"–")</f>
        <v>0.124223602484472</v>
      </c>
    </row>
    <row r="276" customFormat="false" ht="15" hidden="false" customHeight="true" outlineLevel="0" collapsed="false">
      <c r="A276" s="4" t="str">
        <f aca="false">Rohdaten!A276</f>
        <v>Stachelbeeren</v>
      </c>
      <c r="B276" s="8" t="n">
        <f aca="false">Rohdaten!C276</f>
        <v>0.4</v>
      </c>
      <c r="C276" s="8" t="n">
        <f aca="false">IFERROR(Rohdaten!C276*100/Rohdaten!G276,"–")</f>
        <v>0.909090909090909</v>
      </c>
      <c r="D276" s="8" t="n">
        <f aca="false">IFERROR(Rohdaten!C276*100/(Rohdaten!H276*9),"–")</f>
        <v>7.40740740740741</v>
      </c>
      <c r="E276" s="8" t="n">
        <f aca="false">IFERROR(Rohdaten!C276*100/(Rohdaten!I276*4),"–")</f>
        <v>11.1111111111111</v>
      </c>
      <c r="F276" s="8" t="n">
        <f aca="false">IFERROR(Rohdaten!C276*100/(Rohdaten!J276*4),"–")</f>
        <v>1</v>
      </c>
      <c r="G276" s="9" t="n">
        <f aca="false">IFERROR(Rohdaten!C276*100/Rohdaten!K276,"–")</f>
        <v>1.53846153846154</v>
      </c>
      <c r="H276" s="8" t="n">
        <f aca="false">IFERROR(Rohdaten!C276*100/Rohdaten!L276,"–")</f>
        <v>1.42857142857143</v>
      </c>
      <c r="I276" s="9" t="str">
        <f aca="false">IFERROR(Rohdaten!C276*100/Rohdaten!M276,"–")</f>
        <v>–</v>
      </c>
      <c r="J276" s="8" t="n">
        <f aca="false">IFERROR(Rohdaten!C276*100/Rohdaten!N276,"–")</f>
        <v>100</v>
      </c>
      <c r="K276" s="9" t="n">
        <f aca="false">IFERROR(Rohdaten!C276*100/Rohdaten!O276,"–")</f>
        <v>3.63636363636364</v>
      </c>
      <c r="L276" s="8" t="n">
        <f aca="false">IFERROR(Rohdaten!C276*100/Rohdaten!P276,"–")</f>
        <v>1000</v>
      </c>
      <c r="M276" s="8" t="n">
        <f aca="false">IFERROR(Rohdaten!C276*100/Rohdaten!Q276,"–")</f>
        <v>1333.33333333333</v>
      </c>
      <c r="N276" s="8" t="n">
        <f aca="false">IFERROR(Rohdaten!C276*100/Rohdaten!R276,"–")</f>
        <v>133.333333333333</v>
      </c>
      <c r="O276" s="8" t="n">
        <f aca="false">IFERROR(Rohdaten!C276*100/Rohdaten!S276,"–")</f>
        <v>500</v>
      </c>
      <c r="P276" s="9" t="n">
        <f aca="false">IFERROR(Rohdaten!C276*100/Rohdaten!T276,"–")</f>
        <v>6.66666666666667</v>
      </c>
      <c r="Q276" s="9" t="str">
        <f aca="false">IFERROR(Rohdaten!C276*100/Rohdaten!U276,"–")</f>
        <v>–</v>
      </c>
      <c r="R276" s="8" t="n">
        <f aca="false">IFERROR(Rohdaten!C276*100/Rohdaten!V276,"–")</f>
        <v>1.6</v>
      </c>
      <c r="S276" s="8" t="n">
        <f aca="false">IFERROR(Rohdaten!C276*100/Rohdaten!W276,"–")</f>
        <v>133.333333333333</v>
      </c>
      <c r="T276" s="8" t="n">
        <f aca="false">IFERROR(Rohdaten!C276*100/Rohdaten!X276,"–")</f>
        <v>4</v>
      </c>
      <c r="U276" s="8" t="n">
        <f aca="false">IFERROR(Rohdaten!C276*100/Rohdaten!Y276,"–")</f>
        <v>400</v>
      </c>
      <c r="V276" s="8" t="n">
        <f aca="false">IFERROR(Rohdaten!C276*100/Rohdaten!Z276,"–")</f>
        <v>0.202020202020202</v>
      </c>
    </row>
    <row r="277" customFormat="false" ht="15" hidden="false" customHeight="true" outlineLevel="0" collapsed="false">
      <c r="A277" s="4" t="str">
        <f aca="false">Rohdaten!A277</f>
        <v>Heidelbeeren</v>
      </c>
      <c r="B277" s="8" t="n">
        <f aca="false">Rohdaten!C277</f>
        <v>0.5</v>
      </c>
      <c r="C277" s="8" t="n">
        <f aca="false">IFERROR(Rohdaten!C277*100/Rohdaten!G277,"–")</f>
        <v>0.87719298245614</v>
      </c>
      <c r="D277" s="8" t="n">
        <f aca="false">IFERROR(Rohdaten!C277*100/(Rohdaten!H277*9),"–")</f>
        <v>18.5185185185185</v>
      </c>
      <c r="E277" s="8" t="n">
        <f aca="false">IFERROR(Rohdaten!C277*100/(Rohdaten!I277*4),"–")</f>
        <v>17.8571428571429</v>
      </c>
      <c r="F277" s="8" t="n">
        <f aca="false">IFERROR(Rohdaten!C277*100/(Rohdaten!J277*4),"–")</f>
        <v>0.862068965517241</v>
      </c>
      <c r="G277" s="9" t="n">
        <f aca="false">IFERROR(Rohdaten!C277*100/Rohdaten!K277,"–")</f>
        <v>16.6666666666667</v>
      </c>
      <c r="H277" s="8" t="n">
        <f aca="false">IFERROR(Rohdaten!C277*100/Rohdaten!L277,"–")</f>
        <v>5</v>
      </c>
      <c r="I277" s="9" t="str">
        <f aca="false">IFERROR(Rohdaten!C277*100/Rohdaten!M277,"–")</f>
        <v>–</v>
      </c>
      <c r="J277" s="8" t="n">
        <f aca="false">IFERROR(Rohdaten!C277*100/Rohdaten!N277,"–")</f>
        <v>41.6666666666667</v>
      </c>
      <c r="K277" s="9" t="n">
        <f aca="false">IFERROR(Rohdaten!C277*100/Rohdaten!O277,"–")</f>
        <v>2.59067357512953</v>
      </c>
      <c r="L277" s="8" t="n">
        <f aca="false">IFERROR(Rohdaten!C277*100/Rohdaten!P277,"–")</f>
        <v>1250</v>
      </c>
      <c r="M277" s="8" t="n">
        <f aca="false">IFERROR(Rohdaten!C277*100/Rohdaten!Q277,"–")</f>
        <v>1250</v>
      </c>
      <c r="N277" s="8" t="n">
        <f aca="false">IFERROR(Rohdaten!C277*100/Rohdaten!R277,"–")</f>
        <v>125</v>
      </c>
      <c r="O277" s="8" t="n">
        <f aca="false">IFERROR(Rohdaten!C277*100/Rohdaten!S277,"–")</f>
        <v>1000</v>
      </c>
      <c r="P277" s="9" t="n">
        <f aca="false">IFERROR(Rohdaten!C277*100/Rohdaten!T277,"–")</f>
        <v>8.33333333333333</v>
      </c>
      <c r="Q277" s="9" t="str">
        <f aca="false">IFERROR(Rohdaten!C277*100/Rohdaten!U277,"–")</f>
        <v>–</v>
      </c>
      <c r="R277" s="8" t="n">
        <f aca="false">IFERROR(Rohdaten!C277*100/Rohdaten!V277,"–")</f>
        <v>8.33333333333333</v>
      </c>
      <c r="S277" s="8" t="n">
        <f aca="false">IFERROR(Rohdaten!C277*100/Rohdaten!W277,"–")</f>
        <v>166.666666666667</v>
      </c>
      <c r="T277" s="8" t="n">
        <f aca="false">IFERROR(Rohdaten!C277*100/Rohdaten!X277,"–")</f>
        <v>8.33333333333333</v>
      </c>
      <c r="U277" s="8" t="n">
        <f aca="false">IFERROR(Rohdaten!C277*100/Rohdaten!Y277,"–")</f>
        <v>250</v>
      </c>
      <c r="V277" s="8" t="n">
        <f aca="false">IFERROR(Rohdaten!C277*100/Rohdaten!Z277,"–")</f>
        <v>0.649350649350649</v>
      </c>
    </row>
    <row r="278" customFormat="false" ht="15" hidden="false" customHeight="true" outlineLevel="0" collapsed="false">
      <c r="A278" s="4" t="str">
        <f aca="false">Rohdaten!A278</f>
        <v>Brombeeren</v>
      </c>
      <c r="B278" s="8" t="n">
        <f aca="false">Rohdaten!C278</f>
        <v>0.5</v>
      </c>
      <c r="C278" s="8" t="n">
        <f aca="false">IFERROR(Rohdaten!C278*100/Rohdaten!G278,"–")</f>
        <v>1.16279069767442</v>
      </c>
      <c r="D278" s="8" t="n">
        <f aca="false">IFERROR(Rohdaten!C278*100/(Rohdaten!H278*9),"–")</f>
        <v>11.1111111111111</v>
      </c>
      <c r="E278" s="8" t="n">
        <f aca="false">IFERROR(Rohdaten!C278*100/(Rohdaten!I278*4),"–")</f>
        <v>8.92857142857143</v>
      </c>
      <c r="F278" s="8" t="n">
        <f aca="false">IFERROR(Rohdaten!C278*100/(Rohdaten!J278*4),"–")</f>
        <v>1.25</v>
      </c>
      <c r="G278" s="9" t="n">
        <f aca="false">IFERROR(Rohdaten!C278*100/Rohdaten!K278,"–")</f>
        <v>4.54545454545455</v>
      </c>
      <c r="H278" s="8" t="n">
        <f aca="false">IFERROR(Rohdaten!C278*100/Rohdaten!L278,"–")</f>
        <v>2.38095238095238</v>
      </c>
      <c r="I278" s="9" t="str">
        <f aca="false">IFERROR(Rohdaten!C278*100/Rohdaten!M278,"–")</f>
        <v>–</v>
      </c>
      <c r="J278" s="8" t="n">
        <f aca="false">IFERROR(Rohdaten!C278*100/Rohdaten!N278,"–")</f>
        <v>41.6666666666667</v>
      </c>
      <c r="K278" s="9" t="n">
        <f aca="false">IFERROR(Rohdaten!C278*100/Rohdaten!O278,"–")</f>
        <v>2.5</v>
      </c>
      <c r="L278" s="8" t="n">
        <f aca="false">IFERROR(Rohdaten!C278*100/Rohdaten!P278,"–")</f>
        <v>2500</v>
      </c>
      <c r="M278" s="8" t="n">
        <f aca="false">IFERROR(Rohdaten!C278*100/Rohdaten!Q278,"–")</f>
        <v>1666.66666666667</v>
      </c>
      <c r="N278" s="8" t="n">
        <f aca="false">IFERROR(Rohdaten!C278*100/Rohdaten!R278,"–")</f>
        <v>83.3333333333333</v>
      </c>
      <c r="O278" s="8" t="n">
        <f aca="false">IFERROR(Rohdaten!C278*100/Rohdaten!S278,"–")</f>
        <v>1666.66666666667</v>
      </c>
      <c r="P278" s="9" t="n">
        <f aca="false">IFERROR(Rohdaten!C278*100/Rohdaten!T278,"–")</f>
        <v>2</v>
      </c>
      <c r="Q278" s="9" t="str">
        <f aca="false">IFERROR(Rohdaten!C278*100/Rohdaten!U278,"–")</f>
        <v>–</v>
      </c>
      <c r="R278" s="8" t="n">
        <f aca="false">IFERROR(Rohdaten!C278*100/Rohdaten!V278,"–")</f>
        <v>1.72413793103448</v>
      </c>
      <c r="S278" s="8" t="n">
        <f aca="false">IFERROR(Rohdaten!C278*100/Rohdaten!W278,"–")</f>
        <v>83.3333333333333</v>
      </c>
      <c r="T278" s="8" t="n">
        <f aca="false">IFERROR(Rohdaten!C278*100/Rohdaten!X278,"–")</f>
        <v>2.5</v>
      </c>
      <c r="U278" s="8" t="n">
        <f aca="false">IFERROR(Rohdaten!C278*100/Rohdaten!Y278,"–")</f>
        <v>100</v>
      </c>
      <c r="V278" s="8" t="n">
        <f aca="false">IFERROR(Rohdaten!C278*100/Rohdaten!Z278,"–")</f>
        <v>0.308641975308642</v>
      </c>
    </row>
    <row r="279" customFormat="false" ht="15" hidden="false" customHeight="true" outlineLevel="0" collapsed="false">
      <c r="A279" s="4" t="str">
        <f aca="false">Rohdaten!A279</f>
        <v>Himbeeren</v>
      </c>
      <c r="B279" s="8" t="n">
        <f aca="false">Rohdaten!C279</f>
        <v>0.5</v>
      </c>
      <c r="C279" s="8" t="n">
        <f aca="false">IFERROR(Rohdaten!C279*100/Rohdaten!G279,"–")</f>
        <v>0.961538461538462</v>
      </c>
      <c r="D279" s="8" t="n">
        <f aca="false">IFERROR(Rohdaten!C279*100/(Rohdaten!H279*9),"–")</f>
        <v>7.93650793650794</v>
      </c>
      <c r="E279" s="8" t="n">
        <f aca="false">IFERROR(Rohdaten!C279*100/(Rohdaten!I279*4),"–")</f>
        <v>10.4166666666667</v>
      </c>
      <c r="F279" s="8" t="n">
        <f aca="false">IFERROR(Rohdaten!C279*100/(Rohdaten!J279*4),"–")</f>
        <v>1.04166666666667</v>
      </c>
      <c r="G279" s="9" t="n">
        <f aca="false">IFERROR(Rohdaten!C279*100/Rohdaten!K279,"–")</f>
        <v>25</v>
      </c>
      <c r="H279" s="8" t="n">
        <f aca="false">IFERROR(Rohdaten!C279*100/Rohdaten!L279,"–")</f>
        <v>1.92307692307692</v>
      </c>
      <c r="I279" s="9" t="str">
        <f aca="false">IFERROR(Rohdaten!C279*100/Rohdaten!M279,"–")</f>
        <v>–</v>
      </c>
      <c r="J279" s="8" t="n">
        <f aca="false">IFERROR(Rohdaten!C279*100/Rohdaten!N279,"–")</f>
        <v>55.5555555555556</v>
      </c>
      <c r="K279" s="9" t="n">
        <f aca="false">IFERROR(Rohdaten!C279*100/Rohdaten!O279,"–")</f>
        <v>6.41025641025641</v>
      </c>
      <c r="L279" s="8" t="n">
        <f aca="false">IFERROR(Rohdaten!C279*100/Rohdaten!P279,"–")</f>
        <v>1666.66666666667</v>
      </c>
      <c r="M279" s="8" t="n">
        <f aca="false">IFERROR(Rohdaten!C279*100/Rohdaten!Q279,"–")</f>
        <v>1250</v>
      </c>
      <c r="N279" s="8" t="n">
        <f aca="false">IFERROR(Rohdaten!C279*100/Rohdaten!R279,"–")</f>
        <v>83.3333333333333</v>
      </c>
      <c r="O279" s="8" t="n">
        <f aca="false">IFERROR(Rohdaten!C279*100/Rohdaten!S279,"–")</f>
        <v>833.333333333333</v>
      </c>
      <c r="P279" s="9" t="n">
        <f aca="false">IFERROR(Rohdaten!C279*100/Rohdaten!T279,"–")</f>
        <v>2.38095238095238</v>
      </c>
      <c r="Q279" s="9" t="str">
        <f aca="false">IFERROR(Rohdaten!C279*100/Rohdaten!U279,"–")</f>
        <v>–</v>
      </c>
      <c r="R279" s="8" t="n">
        <f aca="false">IFERROR(Rohdaten!C279*100/Rohdaten!V279,"–")</f>
        <v>2</v>
      </c>
      <c r="S279" s="8" t="n">
        <f aca="false">IFERROR(Rohdaten!C279*100/Rohdaten!W279,"–")</f>
        <v>71.4285714285714</v>
      </c>
      <c r="T279" s="8" t="n">
        <f aca="false">IFERROR(Rohdaten!C279*100/Rohdaten!X279,"–")</f>
        <v>2.27272727272727</v>
      </c>
      <c r="U279" s="8" t="n">
        <f aca="false">IFERROR(Rohdaten!C279*100/Rohdaten!Y279,"–")</f>
        <v>125</v>
      </c>
      <c r="V279" s="8" t="n">
        <f aca="false">IFERROR(Rohdaten!C279*100/Rohdaten!Z279,"–")</f>
        <v>0.33112582781457</v>
      </c>
    </row>
    <row r="280" customFormat="false" ht="15" hidden="false" customHeight="true" outlineLevel="0" collapsed="false">
      <c r="A280" s="4" t="str">
        <f aca="false">Rohdaten!A280</f>
        <v>Preiselbeeren</v>
      </c>
      <c r="B280" s="8" t="n">
        <f aca="false">Rohdaten!C280</f>
        <v>0.5</v>
      </c>
      <c r="C280" s="8" t="n">
        <f aca="false">IFERROR(Rohdaten!C280*100/Rohdaten!G280,"–")</f>
        <v>1.08695652173913</v>
      </c>
      <c r="D280" s="8" t="n">
        <f aca="false">IFERROR(Rohdaten!C280*100/(Rohdaten!H280*9),"–")</f>
        <v>55.5555555555556</v>
      </c>
      <c r="E280" s="8" t="n">
        <f aca="false">IFERROR(Rohdaten!C280*100/(Rohdaten!I280*4),"–")</f>
        <v>31.25</v>
      </c>
      <c r="F280" s="8" t="n">
        <f aca="false">IFERROR(Rohdaten!C280*100/(Rohdaten!J280*4),"–")</f>
        <v>1.04166666666667</v>
      </c>
      <c r="G280" s="9" t="n">
        <f aca="false">IFERROR(Rohdaten!C280*100/Rohdaten!K280,"–")</f>
        <v>16.6666666666667</v>
      </c>
      <c r="H280" s="8" t="n">
        <f aca="false">IFERROR(Rohdaten!C280*100/Rohdaten!L280,"–")</f>
        <v>3.84615384615385</v>
      </c>
      <c r="I280" s="9" t="str">
        <f aca="false">IFERROR(Rohdaten!C280*100/Rohdaten!M280,"–")</f>
        <v>–</v>
      </c>
      <c r="J280" s="8" t="n">
        <f aca="false">IFERROR(Rohdaten!C280*100/Rohdaten!N280,"–")</f>
        <v>41.6666666666667</v>
      </c>
      <c r="K280" s="9" t="n">
        <f aca="false">IFERROR(Rohdaten!C280*100/Rohdaten!O280,"–")</f>
        <v>10</v>
      </c>
      <c r="L280" s="8" t="n">
        <f aca="false">IFERROR(Rohdaten!C280*100/Rohdaten!P280,"–")</f>
        <v>5000</v>
      </c>
      <c r="M280" s="8" t="n">
        <f aca="false">IFERROR(Rohdaten!C280*100/Rohdaten!Q280,"–")</f>
        <v>2500</v>
      </c>
      <c r="N280" s="8" t="n">
        <f aca="false">IFERROR(Rohdaten!C280*100/Rohdaten!R280,"–")</f>
        <v>500</v>
      </c>
      <c r="O280" s="8" t="n">
        <f aca="false">IFERROR(Rohdaten!C280*100/Rohdaten!S280,"–")</f>
        <v>1000</v>
      </c>
      <c r="P280" s="9" t="n">
        <f aca="false">IFERROR(Rohdaten!C280*100/Rohdaten!T280,"–")</f>
        <v>50</v>
      </c>
      <c r="Q280" s="9" t="str">
        <f aca="false">IFERROR(Rohdaten!C280*100/Rohdaten!U280,"–")</f>
        <v>–</v>
      </c>
      <c r="R280" s="8" t="n">
        <f aca="false">IFERROR(Rohdaten!C280*100/Rohdaten!V280,"–")</f>
        <v>6.25</v>
      </c>
      <c r="S280" s="8" t="n">
        <f aca="false">IFERROR(Rohdaten!C280*100/Rohdaten!W280,"–")</f>
        <v>166.666666666667</v>
      </c>
      <c r="T280" s="8" t="n">
        <f aca="false">IFERROR(Rohdaten!C280*100/Rohdaten!X280,"–")</f>
        <v>8.33333333333333</v>
      </c>
      <c r="U280" s="8" t="n">
        <f aca="false">IFERROR(Rohdaten!C280*100/Rohdaten!Y280,"–")</f>
        <v>500</v>
      </c>
      <c r="V280" s="8" t="n">
        <f aca="false">IFERROR(Rohdaten!C280*100/Rohdaten!Z280,"–")</f>
        <v>0.625</v>
      </c>
    </row>
    <row r="281" customFormat="false" ht="15" hidden="false" customHeight="true" outlineLevel="0" collapsed="false">
      <c r="A281" s="4" t="str">
        <f aca="false">Rohdaten!A281</f>
        <v>Cranberries, frisch</v>
      </c>
      <c r="B281" s="8" t="n">
        <f aca="false">Rohdaten!C281</f>
        <v>0.6</v>
      </c>
      <c r="C281" s="8" t="n">
        <f aca="false">IFERROR(Rohdaten!C281*100/Rohdaten!G281,"–")</f>
        <v>1.30434782608696</v>
      </c>
      <c r="D281" s="8" t="n">
        <f aca="false">IFERROR(Rohdaten!C281*100/(Rohdaten!H281*9),"–")</f>
        <v>66.6666666666667</v>
      </c>
      <c r="E281" s="8" t="n">
        <f aca="false">IFERROR(Rohdaten!C281*100/(Rohdaten!I281*4),"–")</f>
        <v>37.5</v>
      </c>
      <c r="F281" s="8" t="n">
        <f aca="false">IFERROR(Rohdaten!C281*100/(Rohdaten!J281*4),"–")</f>
        <v>1.25</v>
      </c>
      <c r="G281" s="9" t="n">
        <f aca="false">IFERROR(Rohdaten!C281*100/Rohdaten!K281,"–")</f>
        <v>20</v>
      </c>
      <c r="H281" s="8" t="n">
        <f aca="false">IFERROR(Rohdaten!C281*100/Rohdaten!L281,"–")</f>
        <v>4.61538461538462</v>
      </c>
      <c r="I281" s="9" t="str">
        <f aca="false">IFERROR(Rohdaten!C281*100/Rohdaten!M281,"–")</f>
        <v>–</v>
      </c>
      <c r="J281" s="8" t="n">
        <f aca="false">IFERROR(Rohdaten!C281*100/Rohdaten!N281,"–")</f>
        <v>50</v>
      </c>
      <c r="K281" s="9" t="n">
        <f aca="false">IFERROR(Rohdaten!C281*100/Rohdaten!O281,"–")</f>
        <v>12</v>
      </c>
      <c r="L281" s="8" t="n">
        <f aca="false">IFERROR(Rohdaten!C281*100/Rohdaten!P281,"–")</f>
        <v>6000</v>
      </c>
      <c r="M281" s="8" t="n">
        <f aca="false">IFERROR(Rohdaten!C281*100/Rohdaten!Q281,"–")</f>
        <v>3000</v>
      </c>
      <c r="N281" s="8" t="n">
        <f aca="false">IFERROR(Rohdaten!C281*100/Rohdaten!R281,"–")</f>
        <v>600</v>
      </c>
      <c r="O281" s="8" t="n">
        <f aca="false">IFERROR(Rohdaten!C281*100/Rohdaten!S281,"–")</f>
        <v>1200</v>
      </c>
      <c r="P281" s="9" t="n">
        <f aca="false">IFERROR(Rohdaten!C281*100/Rohdaten!T281,"–")</f>
        <v>60</v>
      </c>
      <c r="Q281" s="9" t="str">
        <f aca="false">IFERROR(Rohdaten!C281*100/Rohdaten!U281,"–")</f>
        <v>–</v>
      </c>
      <c r="R281" s="8" t="n">
        <f aca="false">IFERROR(Rohdaten!C281*100/Rohdaten!V281,"–")</f>
        <v>7.5</v>
      </c>
      <c r="S281" s="8" t="n">
        <f aca="false">IFERROR(Rohdaten!C281*100/Rohdaten!W281,"–")</f>
        <v>200</v>
      </c>
      <c r="T281" s="8" t="n">
        <f aca="false">IFERROR(Rohdaten!C281*100/Rohdaten!X281,"–")</f>
        <v>10</v>
      </c>
      <c r="U281" s="8" t="n">
        <f aca="false">IFERROR(Rohdaten!C281*100/Rohdaten!Y281,"–")</f>
        <v>600</v>
      </c>
      <c r="V281" s="8" t="n">
        <f aca="false">IFERROR(Rohdaten!C281*100/Rohdaten!Z281,"–")</f>
        <v>0.75</v>
      </c>
    </row>
    <row r="282" customFormat="false" ht="15" hidden="false" customHeight="true" outlineLevel="0" collapsed="false">
      <c r="A282" s="4" t="str">
        <f aca="false">Rohdaten!A282</f>
        <v>Zitrone</v>
      </c>
      <c r="B282" s="8" t="n">
        <f aca="false">Rohdaten!C282</f>
        <v>0.4</v>
      </c>
      <c r="C282" s="8" t="n">
        <f aca="false">IFERROR(Rohdaten!C282*100/Rohdaten!G282,"–")</f>
        <v>1.37931034482759</v>
      </c>
      <c r="D282" s="8" t="n">
        <f aca="false">IFERROR(Rohdaten!C282*100/(Rohdaten!H282*9),"–")</f>
        <v>14.8148148148148</v>
      </c>
      <c r="E282" s="8" t="n">
        <f aca="false">IFERROR(Rohdaten!C282*100/(Rohdaten!I282*4),"–")</f>
        <v>9.09090909090909</v>
      </c>
      <c r="F282" s="8" t="n">
        <f aca="false">IFERROR(Rohdaten!C282*100/(Rohdaten!J282*4),"–")</f>
        <v>1.0752688172043</v>
      </c>
      <c r="G282" s="9" t="n">
        <f aca="false">IFERROR(Rohdaten!C282*100/Rohdaten!K282,"–")</f>
        <v>40</v>
      </c>
      <c r="H282" s="8" t="n">
        <f aca="false">IFERROR(Rohdaten!C282*100/Rohdaten!L282,"–")</f>
        <v>0.754716981132076</v>
      </c>
      <c r="I282" s="9" t="str">
        <f aca="false">IFERROR(Rohdaten!C282*100/Rohdaten!M282,"–")</f>
        <v>–</v>
      </c>
      <c r="J282" s="8" t="n">
        <f aca="false">IFERROR(Rohdaten!C282*100/Rohdaten!N282,"–")</f>
        <v>200</v>
      </c>
      <c r="K282" s="9" t="str">
        <f aca="false">IFERROR(Rohdaten!C282*100/Rohdaten!O282,"–")</f>
        <v>–</v>
      </c>
      <c r="L282" s="8" t="n">
        <f aca="false">IFERROR(Rohdaten!C282*100/Rohdaten!P282,"–")</f>
        <v>1000</v>
      </c>
      <c r="M282" s="8" t="n">
        <f aca="false">IFERROR(Rohdaten!C282*100/Rohdaten!Q282,"–")</f>
        <v>2000</v>
      </c>
      <c r="N282" s="8" t="n">
        <f aca="false">IFERROR(Rohdaten!C282*100/Rohdaten!R282,"–")</f>
        <v>400</v>
      </c>
      <c r="O282" s="8" t="n">
        <f aca="false">IFERROR(Rohdaten!C282*100/Rohdaten!S282,"–")</f>
        <v>500</v>
      </c>
      <c r="P282" s="9" t="n">
        <f aca="false">IFERROR(Rohdaten!C282*100/Rohdaten!T282,"–")</f>
        <v>3.63636363636364</v>
      </c>
      <c r="Q282" s="9" t="str">
        <f aca="false">IFERROR(Rohdaten!C282*100/Rohdaten!U282,"–")</f>
        <v>–</v>
      </c>
      <c r="R282" s="8" t="n">
        <f aca="false">IFERROR(Rohdaten!C282*100/Rohdaten!V282,"–")</f>
        <v>1.53846153846154</v>
      </c>
      <c r="S282" s="8" t="n">
        <f aca="false">IFERROR(Rohdaten!C282*100/Rohdaten!W282,"–")</f>
        <v>66.6666666666667</v>
      </c>
      <c r="T282" s="8" t="n">
        <f aca="false">IFERROR(Rohdaten!C282*100/Rohdaten!X282,"–")</f>
        <v>5</v>
      </c>
      <c r="U282" s="8" t="n">
        <f aca="false">IFERROR(Rohdaten!C282*100/Rohdaten!Y282,"–")</f>
        <v>400</v>
      </c>
      <c r="V282" s="8" t="n">
        <f aca="false">IFERROR(Rohdaten!C282*100/Rohdaten!Z282,"–")</f>
        <v>0.289855072463768</v>
      </c>
    </row>
    <row r="283" customFormat="false" ht="15" hidden="false" customHeight="true" outlineLevel="0" collapsed="false">
      <c r="A283" s="4" t="str">
        <f aca="false">Rohdaten!A283</f>
        <v>Limette</v>
      </c>
      <c r="B283" s="8" t="n">
        <f aca="false">Rohdaten!C283</f>
        <v>0.4</v>
      </c>
      <c r="C283" s="8" t="n">
        <f aca="false">IFERROR(Rohdaten!C283*100/Rohdaten!G283,"–")</f>
        <v>1.33333333333333</v>
      </c>
      <c r="D283" s="8" t="n">
        <f aca="false">IFERROR(Rohdaten!C283*100/(Rohdaten!H283*9),"–")</f>
        <v>22.2222222222222</v>
      </c>
      <c r="E283" s="8" t="n">
        <f aca="false">IFERROR(Rohdaten!C283*100/(Rohdaten!I283*4),"–")</f>
        <v>14.2857142857143</v>
      </c>
      <c r="F283" s="8" t="n">
        <f aca="false">IFERROR(Rohdaten!C283*100/(Rohdaten!J283*4),"–")</f>
        <v>0.909090909090909</v>
      </c>
      <c r="G283" s="9" t="n">
        <f aca="false">IFERROR(Rohdaten!C283*100/Rohdaten!K283,"–")</f>
        <v>20</v>
      </c>
      <c r="H283" s="8" t="n">
        <f aca="false">IFERROR(Rohdaten!C283*100/Rohdaten!L283,"–")</f>
        <v>1.37931034482759</v>
      </c>
      <c r="I283" s="9" t="str">
        <f aca="false">IFERROR(Rohdaten!C283*100/Rohdaten!M283,"–")</f>
        <v>–</v>
      </c>
      <c r="J283" s="8" t="n">
        <f aca="false">IFERROR(Rohdaten!C283*100/Rohdaten!N283,"–")</f>
        <v>200</v>
      </c>
      <c r="K283" s="9" t="str">
        <f aca="false">IFERROR(Rohdaten!C283*100/Rohdaten!O283,"–")</f>
        <v>–</v>
      </c>
      <c r="L283" s="8" t="n">
        <f aca="false">IFERROR(Rohdaten!C283*100/Rohdaten!P283,"–")</f>
        <v>1333.33333333333</v>
      </c>
      <c r="M283" s="8" t="n">
        <f aca="false">IFERROR(Rohdaten!C283*100/Rohdaten!Q283,"–")</f>
        <v>2000</v>
      </c>
      <c r="N283" s="8" t="n">
        <f aca="false">IFERROR(Rohdaten!C283*100/Rohdaten!R283,"–")</f>
        <v>200</v>
      </c>
      <c r="O283" s="8" t="n">
        <f aca="false">IFERROR(Rohdaten!C283*100/Rohdaten!S283,"–")</f>
        <v>800</v>
      </c>
      <c r="P283" s="9" t="n">
        <f aca="false">IFERROR(Rohdaten!C283*100/Rohdaten!T283,"–")</f>
        <v>5</v>
      </c>
      <c r="Q283" s="9" t="str">
        <f aca="false">IFERROR(Rohdaten!C283*100/Rohdaten!U283,"–")</f>
        <v>–</v>
      </c>
      <c r="R283" s="8" t="n">
        <f aca="false">IFERROR(Rohdaten!C283*100/Rohdaten!V283,"–")</f>
        <v>1.21212121212121</v>
      </c>
      <c r="S283" s="8" t="n">
        <f aca="false">IFERROR(Rohdaten!C283*100/Rohdaten!W283,"–")</f>
        <v>66.6666666666667</v>
      </c>
      <c r="T283" s="8" t="n">
        <f aca="false">IFERROR(Rohdaten!C283*100/Rohdaten!X283,"–")</f>
        <v>6.66666666666667</v>
      </c>
      <c r="U283" s="8" t="n">
        <f aca="false">IFERROR(Rohdaten!C283*100/Rohdaten!Y283,"–")</f>
        <v>400</v>
      </c>
      <c r="V283" s="8" t="n">
        <f aca="false">IFERROR(Rohdaten!C283*100/Rohdaten!Z283,"–")</f>
        <v>0.392156862745098</v>
      </c>
    </row>
    <row r="284" customFormat="false" ht="15" hidden="false" customHeight="true" outlineLevel="0" collapsed="false">
      <c r="A284" s="4" t="str">
        <f aca="false">Rohdaten!A284</f>
        <v>Grapefruit</v>
      </c>
      <c r="B284" s="8" t="n">
        <f aca="false">Rohdaten!C284</f>
        <v>0.4</v>
      </c>
      <c r="C284" s="8" t="n">
        <f aca="false">IFERROR(Rohdaten!C284*100/Rohdaten!G284,"–")</f>
        <v>0.952380952380952</v>
      </c>
      <c r="D284" s="8" t="n">
        <f aca="false">IFERROR(Rohdaten!C284*100/(Rohdaten!H284*9),"–")</f>
        <v>44.4444444444444</v>
      </c>
      <c r="E284" s="8" t="n">
        <f aca="false">IFERROR(Rohdaten!C284*100/(Rohdaten!I284*4),"–")</f>
        <v>12.5</v>
      </c>
      <c r="F284" s="8" t="n">
        <f aca="false">IFERROR(Rohdaten!C284*100/(Rohdaten!J284*4),"–")</f>
        <v>0.909090909090909</v>
      </c>
      <c r="G284" s="9" t="n">
        <f aca="false">IFERROR(Rohdaten!C284*100/Rohdaten!K284,"–")</f>
        <v>0.888888888888889</v>
      </c>
      <c r="H284" s="8" t="n">
        <f aca="false">IFERROR(Rohdaten!C284*100/Rohdaten!L284,"–")</f>
        <v>1.21212121212121</v>
      </c>
      <c r="I284" s="9" t="str">
        <f aca="false">IFERROR(Rohdaten!C284*100/Rohdaten!M284,"–")</f>
        <v>–</v>
      </c>
      <c r="J284" s="8" t="n">
        <f aca="false">IFERROR(Rohdaten!C284*100/Rohdaten!N284,"–")</f>
        <v>400</v>
      </c>
      <c r="K284" s="9" t="str">
        <f aca="false">IFERROR(Rohdaten!C284*100/Rohdaten!O284,"–")</f>
        <v>–</v>
      </c>
      <c r="L284" s="8" t="n">
        <f aca="false">IFERROR(Rohdaten!C284*100/Rohdaten!P284,"–")</f>
        <v>1000</v>
      </c>
      <c r="M284" s="8" t="n">
        <f aca="false">IFERROR(Rohdaten!C284*100/Rohdaten!Q284,"–")</f>
        <v>2000</v>
      </c>
      <c r="N284" s="8" t="n">
        <f aca="false">IFERROR(Rohdaten!C284*100/Rohdaten!R284,"–")</f>
        <v>133.333333333333</v>
      </c>
      <c r="O284" s="8" t="n">
        <f aca="false">IFERROR(Rohdaten!C284*100/Rohdaten!S284,"–")</f>
        <v>1000</v>
      </c>
      <c r="P284" s="9" t="n">
        <f aca="false">IFERROR(Rohdaten!C284*100/Rohdaten!T284,"–")</f>
        <v>4</v>
      </c>
      <c r="Q284" s="9" t="str">
        <f aca="false">IFERROR(Rohdaten!C284*100/Rohdaten!U284,"–")</f>
        <v>–</v>
      </c>
      <c r="R284" s="8" t="n">
        <f aca="false">IFERROR(Rohdaten!C284*100/Rohdaten!V284,"–")</f>
        <v>1.81818181818182</v>
      </c>
      <c r="S284" s="8" t="n">
        <f aca="false">IFERROR(Rohdaten!C284*100/Rohdaten!W284,"–")</f>
        <v>400</v>
      </c>
      <c r="T284" s="8" t="n">
        <f aca="false">IFERROR(Rohdaten!C284*100/Rohdaten!X284,"–")</f>
        <v>4.44444444444445</v>
      </c>
      <c r="U284" s="8" t="n">
        <f aca="false">IFERROR(Rohdaten!C284*100/Rohdaten!Y284,"–")</f>
        <v>400</v>
      </c>
      <c r="V284" s="8" t="n">
        <f aca="false">IFERROR(Rohdaten!C284*100/Rohdaten!Z284,"–")</f>
        <v>0.27027027027027</v>
      </c>
    </row>
    <row r="285" customFormat="false" ht="15" hidden="false" customHeight="true" outlineLevel="0" collapsed="false">
      <c r="A285" s="4" t="str">
        <f aca="false">Rohdaten!A285</f>
        <v>Mandarine/Clementine</v>
      </c>
      <c r="B285" s="8" t="n">
        <f aca="false">Rohdaten!C285</f>
        <v>0.4</v>
      </c>
      <c r="C285" s="8" t="n">
        <f aca="false">IFERROR(Rohdaten!C285*100/Rohdaten!G285,"–")</f>
        <v>0.754716981132076</v>
      </c>
      <c r="D285" s="8" t="n">
        <f aca="false">IFERROR(Rohdaten!C285*100/(Rohdaten!H285*9),"–")</f>
        <v>14.8148148148148</v>
      </c>
      <c r="E285" s="8" t="n">
        <f aca="false">IFERROR(Rohdaten!C285*100/(Rohdaten!I285*4),"–")</f>
        <v>12.5</v>
      </c>
      <c r="F285" s="8" t="n">
        <f aca="false">IFERROR(Rohdaten!C285*100/(Rohdaten!J285*4),"–")</f>
        <v>0.769230769230769</v>
      </c>
      <c r="G285" s="9" t="n">
        <f aca="false">IFERROR(Rohdaten!C285*100/Rohdaten!K285,"–")</f>
        <v>1.17647058823529</v>
      </c>
      <c r="H285" s="8" t="n">
        <f aca="false">IFERROR(Rohdaten!C285*100/Rohdaten!L285,"–")</f>
        <v>1.48148148148148</v>
      </c>
      <c r="I285" s="9" t="str">
        <f aca="false">IFERROR(Rohdaten!C285*100/Rohdaten!M285,"–")</f>
        <v>–</v>
      </c>
      <c r="J285" s="8" t="n">
        <f aca="false">IFERROR(Rohdaten!C285*100/Rohdaten!N285,"–")</f>
        <v>200</v>
      </c>
      <c r="K285" s="9" t="str">
        <f aca="false">IFERROR(Rohdaten!C285*100/Rohdaten!O285,"–")</f>
        <v>–</v>
      </c>
      <c r="L285" s="8" t="n">
        <f aca="false">IFERROR(Rohdaten!C285*100/Rohdaten!P285,"–")</f>
        <v>666.666666666667</v>
      </c>
      <c r="M285" s="8" t="n">
        <f aca="false">IFERROR(Rohdaten!C285*100/Rohdaten!Q285,"–")</f>
        <v>1333.33333333333</v>
      </c>
      <c r="N285" s="8" t="n">
        <f aca="false">IFERROR(Rohdaten!C285*100/Rohdaten!R285,"–")</f>
        <v>100</v>
      </c>
      <c r="O285" s="8" t="n">
        <f aca="false">IFERROR(Rohdaten!C285*100/Rohdaten!S285,"–")</f>
        <v>500</v>
      </c>
      <c r="P285" s="9" t="n">
        <f aca="false">IFERROR(Rohdaten!C285*100/Rohdaten!T285,"–")</f>
        <v>2.5</v>
      </c>
      <c r="Q285" s="9" t="str">
        <f aca="false">IFERROR(Rohdaten!C285*100/Rohdaten!U285,"–")</f>
        <v>–</v>
      </c>
      <c r="R285" s="8" t="n">
        <f aca="false">IFERROR(Rohdaten!C285*100/Rohdaten!V285,"–")</f>
        <v>1.08108108108108</v>
      </c>
      <c r="S285" s="8" t="n">
        <f aca="false">IFERROR(Rohdaten!C285*100/Rohdaten!W285,"–")</f>
        <v>200</v>
      </c>
      <c r="T285" s="8" t="n">
        <f aca="false">IFERROR(Rohdaten!C285*100/Rohdaten!X285,"–")</f>
        <v>3.33333333333333</v>
      </c>
      <c r="U285" s="8" t="n">
        <f aca="false">IFERROR(Rohdaten!C285*100/Rohdaten!Y285,"–")</f>
        <v>400</v>
      </c>
      <c r="V285" s="8" t="n">
        <f aca="false">IFERROR(Rohdaten!C285*100/Rohdaten!Z285,"–")</f>
        <v>0.240963855421687</v>
      </c>
    </row>
    <row r="286" customFormat="false" ht="15" hidden="false" customHeight="true" outlineLevel="0" collapsed="false">
      <c r="A286" s="4" t="str">
        <f aca="false">Rohdaten!A286</f>
        <v>Kiwi</v>
      </c>
      <c r="B286" s="8" t="n">
        <f aca="false">Rohdaten!C286</f>
        <v>0.6</v>
      </c>
      <c r="C286" s="8" t="n">
        <f aca="false">IFERROR(Rohdaten!C286*100/Rohdaten!G286,"–")</f>
        <v>0.983606557377049</v>
      </c>
      <c r="D286" s="8" t="n">
        <f aca="false">IFERROR(Rohdaten!C286*100/(Rohdaten!H286*9),"–")</f>
        <v>13.3333333333333</v>
      </c>
      <c r="E286" s="8" t="n">
        <f aca="false">IFERROR(Rohdaten!C286*100/(Rohdaten!I286*4),"–")</f>
        <v>13.6363636363636</v>
      </c>
      <c r="F286" s="8" t="n">
        <f aca="false">IFERROR(Rohdaten!C286*100/(Rohdaten!J286*4),"–")</f>
        <v>1</v>
      </c>
      <c r="G286" s="9" t="n">
        <f aca="false">IFERROR(Rohdaten!C286*100/Rohdaten!K286,"–")</f>
        <v>15</v>
      </c>
      <c r="H286" s="8" t="n">
        <f aca="false">IFERROR(Rohdaten!C286*100/Rohdaten!L286,"–")</f>
        <v>0.645161290322581</v>
      </c>
      <c r="I286" s="9" t="str">
        <f aca="false">IFERROR(Rohdaten!C286*100/Rohdaten!M286,"–")</f>
        <v>–</v>
      </c>
      <c r="J286" s="8" t="n">
        <f aca="false">IFERROR(Rohdaten!C286*100/Rohdaten!N286,"–")</f>
        <v>40</v>
      </c>
      <c r="K286" s="9" t="n">
        <f aca="false">IFERROR(Rohdaten!C286*100/Rohdaten!O286,"–")</f>
        <v>1.5</v>
      </c>
      <c r="L286" s="8" t="n">
        <f aca="false">IFERROR(Rohdaten!C286*100/Rohdaten!P286,"–")</f>
        <v>2000</v>
      </c>
      <c r="M286" s="8" t="n">
        <f aca="false">IFERROR(Rohdaten!C286*100/Rohdaten!Q286,"–")</f>
        <v>1200</v>
      </c>
      <c r="N286" s="8" t="n">
        <f aca="false">IFERROR(Rohdaten!C286*100/Rohdaten!R286,"–")</f>
        <v>200</v>
      </c>
      <c r="O286" s="8" t="n">
        <f aca="false">IFERROR(Rohdaten!C286*100/Rohdaten!S286,"–")</f>
        <v>1000</v>
      </c>
      <c r="P286" s="9" t="n">
        <f aca="false">IFERROR(Rohdaten!C286*100/Rohdaten!T286,"–")</f>
        <v>2.4</v>
      </c>
      <c r="Q286" s="9" t="str">
        <f aca="false">IFERROR(Rohdaten!C286*100/Rohdaten!U286,"–")</f>
        <v>–</v>
      </c>
      <c r="R286" s="8" t="n">
        <f aca="false">IFERROR(Rohdaten!C286*100/Rohdaten!V286,"–")</f>
        <v>1.76470588235294</v>
      </c>
      <c r="S286" s="8" t="n">
        <f aca="false">IFERROR(Rohdaten!C286*100/Rohdaten!W286,"–")</f>
        <v>200</v>
      </c>
      <c r="T286" s="8" t="n">
        <f aca="false">IFERROR(Rohdaten!C286*100/Rohdaten!X286,"–")</f>
        <v>3.52941176470588</v>
      </c>
      <c r="U286" s="8" t="n">
        <f aca="false">IFERROR(Rohdaten!C286*100/Rohdaten!Y286,"–")</f>
        <v>600</v>
      </c>
      <c r="V286" s="8" t="n">
        <f aca="false">IFERROR(Rohdaten!C286*100/Rohdaten!Z286,"–")</f>
        <v>0.192307692307692</v>
      </c>
    </row>
    <row r="287" customFormat="false" ht="15" hidden="false" customHeight="true" outlineLevel="0" collapsed="false">
      <c r="A287" s="4" t="str">
        <f aca="false">Rohdaten!A287</f>
        <v>Mango</v>
      </c>
      <c r="B287" s="8" t="n">
        <f aca="false">Rohdaten!C287</f>
        <v>0.9</v>
      </c>
      <c r="C287" s="8" t="n">
        <f aca="false">IFERROR(Rohdaten!C287*100/Rohdaten!G287,"–")</f>
        <v>1.5</v>
      </c>
      <c r="D287" s="8" t="n">
        <f aca="false">IFERROR(Rohdaten!C287*100/(Rohdaten!H287*9),"–")</f>
        <v>25</v>
      </c>
      <c r="E287" s="8" t="n">
        <f aca="false">IFERROR(Rohdaten!C287*100/(Rohdaten!I287*4),"–")</f>
        <v>28.125</v>
      </c>
      <c r="F287" s="8" t="n">
        <f aca="false">IFERROR(Rohdaten!C287*100/(Rohdaten!J287*4),"–")</f>
        <v>1.5</v>
      </c>
      <c r="G287" s="9" t="n">
        <f aca="false">IFERROR(Rohdaten!C287*100/Rohdaten!K287,"–")</f>
        <v>1.66666666666667</v>
      </c>
      <c r="H287" s="8" t="n">
        <f aca="false">IFERROR(Rohdaten!C287*100/Rohdaten!L287,"–")</f>
        <v>2.43243243243243</v>
      </c>
      <c r="I287" s="9" t="str">
        <f aca="false">IFERROR(Rohdaten!C287*100/Rohdaten!M287,"–")</f>
        <v>–</v>
      </c>
      <c r="J287" s="8" t="n">
        <f aca="false">IFERROR(Rohdaten!C287*100/Rohdaten!N287,"–")</f>
        <v>100</v>
      </c>
      <c r="K287" s="9" t="n">
        <f aca="false">IFERROR(Rohdaten!C287*100/Rohdaten!O287,"–")</f>
        <v>21.4285714285714</v>
      </c>
      <c r="L287" s="8" t="n">
        <f aca="false">IFERROR(Rohdaten!C287*100/Rohdaten!P287,"–")</f>
        <v>3000</v>
      </c>
      <c r="M287" s="8" t="n">
        <f aca="false">IFERROR(Rohdaten!C287*100/Rohdaten!Q287,"–")</f>
        <v>2250</v>
      </c>
      <c r="N287" s="8" t="n">
        <f aca="false">IFERROR(Rohdaten!C287*100/Rohdaten!R287,"–")</f>
        <v>128.571428571429</v>
      </c>
      <c r="O287" s="8" t="n">
        <f aca="false">IFERROR(Rohdaten!C287*100/Rohdaten!S287,"–")</f>
        <v>750</v>
      </c>
      <c r="P287" s="9" t="n">
        <f aca="false">IFERROR(Rohdaten!C287*100/Rohdaten!T287,"–")</f>
        <v>2.09302325581395</v>
      </c>
      <c r="Q287" s="9" t="str">
        <f aca="false">IFERROR(Rohdaten!C287*100/Rohdaten!U287,"–")</f>
        <v>–</v>
      </c>
      <c r="R287" s="8" t="n">
        <f aca="false">IFERROR(Rohdaten!C287*100/Rohdaten!V287,"–")</f>
        <v>8.18181818181818</v>
      </c>
      <c r="S287" s="8" t="n">
        <f aca="false">IFERROR(Rohdaten!C287*100/Rohdaten!W287,"–")</f>
        <v>450</v>
      </c>
      <c r="T287" s="8" t="n">
        <f aca="false">IFERROR(Rohdaten!C287*100/Rohdaten!X287,"–")</f>
        <v>9</v>
      </c>
      <c r="U287" s="8" t="n">
        <f aca="false">IFERROR(Rohdaten!C287*100/Rohdaten!Y287,"–")</f>
        <v>900</v>
      </c>
      <c r="V287" s="8" t="n">
        <f aca="false">IFERROR(Rohdaten!C287*100/Rohdaten!Z287,"–")</f>
        <v>0.535714285714286</v>
      </c>
    </row>
    <row r="288" customFormat="false" ht="15" hidden="false" customHeight="true" outlineLevel="0" collapsed="false">
      <c r="A288" s="4" t="str">
        <f aca="false">Rohdaten!A288</f>
        <v>Papaya</v>
      </c>
      <c r="B288" s="8" t="n">
        <f aca="false">Rohdaten!C288</f>
        <v>0.9</v>
      </c>
      <c r="C288" s="8" t="n">
        <f aca="false">IFERROR(Rohdaten!C288*100/Rohdaten!G288,"–")</f>
        <v>2.09302325581395</v>
      </c>
      <c r="D288" s="8" t="n">
        <f aca="false">IFERROR(Rohdaten!C288*100/(Rohdaten!H288*9),"–")</f>
        <v>33.3333333333333</v>
      </c>
      <c r="E288" s="8" t="n">
        <f aca="false">IFERROR(Rohdaten!C288*100/(Rohdaten!I288*4),"–")</f>
        <v>45</v>
      </c>
      <c r="F288" s="8" t="n">
        <f aca="false">IFERROR(Rohdaten!C288*100/(Rohdaten!J288*4),"–")</f>
        <v>2.04545454545455</v>
      </c>
      <c r="G288" s="9" t="n">
        <f aca="false">IFERROR(Rohdaten!C288*100/Rohdaten!K288,"–")</f>
        <v>1.91489361702128</v>
      </c>
      <c r="H288" s="8" t="n">
        <f aca="false">IFERROR(Rohdaten!C288*100/Rohdaten!L288,"–")</f>
        <v>1.45161290322581</v>
      </c>
      <c r="I288" s="9" t="str">
        <f aca="false">IFERROR(Rohdaten!C288*100/Rohdaten!M288,"–")</f>
        <v>–</v>
      </c>
      <c r="J288" s="8" t="n">
        <f aca="false">IFERROR(Rohdaten!C288*100/Rohdaten!N288,"–")</f>
        <v>300</v>
      </c>
      <c r="K288" s="9" t="n">
        <f aca="false">IFERROR(Rohdaten!C288*100/Rohdaten!O288,"–")</f>
        <v>34.6153846153846</v>
      </c>
      <c r="L288" s="8" t="n">
        <f aca="false">IFERROR(Rohdaten!C288*100/Rohdaten!P288,"–")</f>
        <v>3000</v>
      </c>
      <c r="M288" s="8" t="n">
        <f aca="false">IFERROR(Rohdaten!C288*100/Rohdaten!Q288,"–")</f>
        <v>3000</v>
      </c>
      <c r="N288" s="8" t="n">
        <f aca="false">IFERROR(Rohdaten!C288*100/Rohdaten!R288,"–")</f>
        <v>225</v>
      </c>
      <c r="O288" s="8" t="n">
        <f aca="false">IFERROR(Rohdaten!C288*100/Rohdaten!S288,"–")</f>
        <v>4500</v>
      </c>
      <c r="P288" s="9" t="n">
        <f aca="false">IFERROR(Rohdaten!C288*100/Rohdaten!T288,"–")</f>
        <v>2.43243243243243</v>
      </c>
      <c r="Q288" s="9" t="str">
        <f aca="false">IFERROR(Rohdaten!C288*100/Rohdaten!U288,"–")</f>
        <v>–</v>
      </c>
      <c r="R288" s="8" t="n">
        <f aca="false">IFERROR(Rohdaten!C288*100/Rohdaten!V288,"–")</f>
        <v>4.5</v>
      </c>
      <c r="S288" s="8" t="n">
        <f aca="false">IFERROR(Rohdaten!C288*100/Rohdaten!W288,"–")</f>
        <v>300</v>
      </c>
      <c r="T288" s="8" t="n">
        <f aca="false">IFERROR(Rohdaten!C288*100/Rohdaten!X288,"–")</f>
        <v>4.28571428571429</v>
      </c>
      <c r="U288" s="8" t="n">
        <f aca="false">IFERROR(Rohdaten!C288*100/Rohdaten!Y288,"–")</f>
        <v>900</v>
      </c>
      <c r="V288" s="8" t="n">
        <f aca="false">IFERROR(Rohdaten!C288*100/Rohdaten!Z288,"–")</f>
        <v>0.494505494505495</v>
      </c>
    </row>
    <row r="289" customFormat="false" ht="15" hidden="false" customHeight="true" outlineLevel="0" collapsed="false">
      <c r="A289" s="4" t="str">
        <f aca="false">Rohdaten!A289</f>
        <v>Litschi</v>
      </c>
      <c r="B289" s="8" t="n">
        <f aca="false">Rohdaten!C289</f>
        <v>1</v>
      </c>
      <c r="C289" s="8" t="n">
        <f aca="false">IFERROR(Rohdaten!C289*100/Rohdaten!G289,"–")</f>
        <v>1.51515151515152</v>
      </c>
      <c r="D289" s="8" t="n">
        <f aca="false">IFERROR(Rohdaten!C289*100/(Rohdaten!H289*9),"–")</f>
        <v>27.7777777777778</v>
      </c>
      <c r="E289" s="8" t="n">
        <f aca="false">IFERROR(Rohdaten!C289*100/(Rohdaten!I289*4),"–")</f>
        <v>31.25</v>
      </c>
      <c r="F289" s="8" t="n">
        <f aca="false">IFERROR(Rohdaten!C289*100/(Rohdaten!J289*4),"–")</f>
        <v>1.47058823529412</v>
      </c>
      <c r="G289" s="9" t="str">
        <f aca="false">IFERROR(Rohdaten!C289*100/Rohdaten!K289,"–")</f>
        <v>–</v>
      </c>
      <c r="H289" s="8" t="n">
        <f aca="false">IFERROR(Rohdaten!C289*100/Rohdaten!L289,"–")</f>
        <v>1.38888888888889</v>
      </c>
      <c r="I289" s="9" t="str">
        <f aca="false">IFERROR(Rohdaten!C289*100/Rohdaten!M289,"–")</f>
        <v>–</v>
      </c>
      <c r="J289" s="8" t="n">
        <f aca="false">IFERROR(Rohdaten!C289*100/Rohdaten!N289,"–")</f>
        <v>1000</v>
      </c>
      <c r="K289" s="9" t="str">
        <f aca="false">IFERROR(Rohdaten!C289*100/Rohdaten!O289,"–")</f>
        <v>–</v>
      </c>
      <c r="L289" s="8" t="n">
        <f aca="false">IFERROR(Rohdaten!C289*100/Rohdaten!P289,"–")</f>
        <v>10000</v>
      </c>
      <c r="M289" s="8" t="n">
        <f aca="false">IFERROR(Rohdaten!C289*100/Rohdaten!Q289,"–")</f>
        <v>1428.57142857143</v>
      </c>
      <c r="N289" s="8" t="n">
        <f aca="false">IFERROR(Rohdaten!C289*100/Rohdaten!R289,"–")</f>
        <v>166.666666666667</v>
      </c>
      <c r="O289" s="8" t="n">
        <f aca="false">IFERROR(Rohdaten!C289*100/Rohdaten!S289,"–")</f>
        <v>1000</v>
      </c>
      <c r="P289" s="9" t="n">
        <f aca="false">IFERROR(Rohdaten!C289*100/Rohdaten!T289,"–")</f>
        <v>7.14285714285714</v>
      </c>
      <c r="Q289" s="9" t="str">
        <f aca="false">IFERROR(Rohdaten!C289*100/Rohdaten!U289,"–")</f>
        <v>–</v>
      </c>
      <c r="R289" s="8" t="n">
        <f aca="false">IFERROR(Rohdaten!C289*100/Rohdaten!V289,"–")</f>
        <v>20</v>
      </c>
      <c r="S289" s="8" t="n">
        <f aca="false">IFERROR(Rohdaten!C289*100/Rohdaten!W289,"–")</f>
        <v>333.333333333333</v>
      </c>
      <c r="T289" s="8" t="n">
        <f aca="false">IFERROR(Rohdaten!C289*100/Rohdaten!X289,"–")</f>
        <v>10</v>
      </c>
      <c r="U289" s="8" t="n">
        <f aca="false">IFERROR(Rohdaten!C289*100/Rohdaten!Y289,"–")</f>
        <v>1000</v>
      </c>
      <c r="V289" s="8" t="n">
        <f aca="false">IFERROR(Rohdaten!C289*100/Rohdaten!Z289,"–")</f>
        <v>0.584795321637427</v>
      </c>
    </row>
    <row r="290" customFormat="false" ht="15" hidden="false" customHeight="true" outlineLevel="0" collapsed="false">
      <c r="A290" s="4" t="str">
        <f aca="false">Rohdaten!A290</f>
        <v>Granatapfel</v>
      </c>
      <c r="B290" s="8" t="n">
        <f aca="false">Rohdaten!C290</f>
        <v>0.8</v>
      </c>
      <c r="C290" s="8" t="n">
        <f aca="false">IFERROR(Rohdaten!C290*100/Rohdaten!G290,"–")</f>
        <v>0.963855421686747</v>
      </c>
      <c r="D290" s="8" t="n">
        <f aca="false">IFERROR(Rohdaten!C290*100/(Rohdaten!H290*9),"–")</f>
        <v>7.40740740740741</v>
      </c>
      <c r="E290" s="8" t="n">
        <f aca="false">IFERROR(Rohdaten!C290*100/(Rohdaten!I290*4),"–")</f>
        <v>11.7647058823529</v>
      </c>
      <c r="F290" s="8" t="n">
        <f aca="false">IFERROR(Rohdaten!C290*100/(Rohdaten!J290*4),"–")</f>
        <v>1.05263157894737</v>
      </c>
      <c r="G290" s="9" t="str">
        <f aca="false">IFERROR(Rohdaten!C290*100/Rohdaten!K290,"–")</f>
        <v>–</v>
      </c>
      <c r="H290" s="8" t="n">
        <f aca="false">IFERROR(Rohdaten!C290*100/Rohdaten!L290,"–")</f>
        <v>8</v>
      </c>
      <c r="I290" s="9" t="str">
        <f aca="false">IFERROR(Rohdaten!C290*100/Rohdaten!M290,"–")</f>
        <v>–</v>
      </c>
      <c r="J290" s="8" t="n">
        <f aca="false">IFERROR(Rohdaten!C290*100/Rohdaten!N290,"–")</f>
        <v>133.333333333333</v>
      </c>
      <c r="K290" s="9" t="n">
        <f aca="false">IFERROR(Rohdaten!C290*100/Rohdaten!O290,"–")</f>
        <v>5</v>
      </c>
      <c r="L290" s="8" t="n">
        <f aca="false">IFERROR(Rohdaten!C290*100/Rohdaten!P290,"–")</f>
        <v>1142.85714285714</v>
      </c>
      <c r="M290" s="8" t="n">
        <f aca="false">IFERROR(Rohdaten!C290*100/Rohdaten!Q290,"–")</f>
        <v>1600</v>
      </c>
      <c r="N290" s="8" t="n">
        <f aca="false">IFERROR(Rohdaten!C290*100/Rohdaten!R290,"–")</f>
        <v>266.666666666667</v>
      </c>
      <c r="O290" s="8" t="n">
        <f aca="false">IFERROR(Rohdaten!C290*100/Rohdaten!S290,"–")</f>
        <v>1000</v>
      </c>
      <c r="P290" s="9" t="n">
        <f aca="false">IFERROR(Rohdaten!C290*100/Rohdaten!T290,"–")</f>
        <v>2.10526315789474</v>
      </c>
      <c r="Q290" s="9" t="str">
        <f aca="false">IFERROR(Rohdaten!C290*100/Rohdaten!U290,"–")</f>
        <v>–</v>
      </c>
      <c r="R290" s="8" t="n">
        <f aca="false">IFERROR(Rohdaten!C290*100/Rohdaten!V290,"–")</f>
        <v>8</v>
      </c>
      <c r="S290" s="8" t="n">
        <f aca="false">IFERROR(Rohdaten!C290*100/Rohdaten!W290,"–")</f>
        <v>266.666666666667</v>
      </c>
      <c r="T290" s="8" t="n">
        <f aca="false">IFERROR(Rohdaten!C290*100/Rohdaten!X290,"–")</f>
        <v>6.66666666666667</v>
      </c>
      <c r="U290" s="8" t="n">
        <f aca="false">IFERROR(Rohdaten!C290*100/Rohdaten!Y290,"–")</f>
        <v>200</v>
      </c>
      <c r="V290" s="8" t="n">
        <f aca="false">IFERROR(Rohdaten!C290*100/Rohdaten!Z290,"–")</f>
        <v>0.338983050847458</v>
      </c>
    </row>
    <row r="291" customFormat="false" ht="15" hidden="false" customHeight="true" outlineLevel="0" collapsed="false">
      <c r="A291" s="4" t="str">
        <f aca="false">Rohdaten!A291</f>
        <v>Feigen, frisch</v>
      </c>
      <c r="B291" s="8" t="n">
        <f aca="false">Rohdaten!C291</f>
        <v>0.6</v>
      </c>
      <c r="C291" s="8" t="n">
        <f aca="false">IFERROR(Rohdaten!C291*100/Rohdaten!G291,"–")</f>
        <v>0.810810810810811</v>
      </c>
      <c r="D291" s="8" t="n">
        <f aca="false">IFERROR(Rohdaten!C291*100/(Rohdaten!H291*9),"–")</f>
        <v>22.2222222222222</v>
      </c>
      <c r="E291" s="8" t="n">
        <f aca="false">IFERROR(Rohdaten!C291*100/(Rohdaten!I291*4),"–")</f>
        <v>18.75</v>
      </c>
      <c r="F291" s="8" t="n">
        <f aca="false">IFERROR(Rohdaten!C291*100/(Rohdaten!J291*4),"–")</f>
        <v>0.789473684210526</v>
      </c>
      <c r="G291" s="9" t="n">
        <f aca="false">IFERROR(Rohdaten!C291*100/Rohdaten!K291,"–")</f>
        <v>8.57142857142857</v>
      </c>
      <c r="H291" s="8" t="n">
        <f aca="false">IFERROR(Rohdaten!C291*100/Rohdaten!L291,"–")</f>
        <v>30</v>
      </c>
      <c r="I291" s="9" t="str">
        <f aca="false">IFERROR(Rohdaten!C291*100/Rohdaten!M291,"–")</f>
        <v>–</v>
      </c>
      <c r="J291" s="8" t="n">
        <f aca="false">IFERROR(Rohdaten!C291*100/Rohdaten!N291,"–")</f>
        <v>600</v>
      </c>
      <c r="K291" s="9" t="n">
        <f aca="false">IFERROR(Rohdaten!C291*100/Rohdaten!O291,"–")</f>
        <v>12.7659574468085</v>
      </c>
      <c r="L291" s="8" t="n">
        <f aca="false">IFERROR(Rohdaten!C291*100/Rohdaten!P291,"–")</f>
        <v>1000</v>
      </c>
      <c r="M291" s="8" t="n">
        <f aca="false">IFERROR(Rohdaten!C291*100/Rohdaten!Q291,"–")</f>
        <v>1200</v>
      </c>
      <c r="N291" s="8" t="n">
        <f aca="false">IFERROR(Rohdaten!C291*100/Rohdaten!R291,"–")</f>
        <v>150</v>
      </c>
      <c r="O291" s="8" t="n">
        <f aca="false">IFERROR(Rohdaten!C291*100/Rohdaten!S291,"–")</f>
        <v>545.454545454546</v>
      </c>
      <c r="P291" s="9" t="n">
        <f aca="false">IFERROR(Rohdaten!C291*100/Rohdaten!T291,"–")</f>
        <v>10</v>
      </c>
      <c r="Q291" s="9" t="str">
        <f aca="false">IFERROR(Rohdaten!C291*100/Rohdaten!U291,"–")</f>
        <v>–</v>
      </c>
      <c r="R291" s="8" t="n">
        <f aca="false">IFERROR(Rohdaten!C291*100/Rohdaten!V291,"–")</f>
        <v>1.71428571428571</v>
      </c>
      <c r="S291" s="8" t="n">
        <f aca="false">IFERROR(Rohdaten!C291*100/Rohdaten!W291,"–")</f>
        <v>150</v>
      </c>
      <c r="T291" s="8" t="n">
        <f aca="false">IFERROR(Rohdaten!C291*100/Rohdaten!X291,"–")</f>
        <v>3.52941176470588</v>
      </c>
      <c r="U291" s="8" t="n">
        <f aca="false">IFERROR(Rohdaten!C291*100/Rohdaten!Y291,"–")</f>
        <v>300</v>
      </c>
      <c r="V291" s="8" t="n">
        <f aca="false">IFERROR(Rohdaten!C291*100/Rohdaten!Z291,"–")</f>
        <v>0.258620689655172</v>
      </c>
    </row>
    <row r="292" customFormat="false" ht="15" hidden="false" customHeight="true" outlineLevel="0" collapsed="false">
      <c r="A292" s="4" t="str">
        <f aca="false">Rohdaten!A292</f>
        <v>Kaki/Persimmon</v>
      </c>
      <c r="B292" s="8" t="n">
        <f aca="false">Rohdaten!C292</f>
        <v>0.6</v>
      </c>
      <c r="C292" s="8" t="n">
        <f aca="false">IFERROR(Rohdaten!C292*100/Rohdaten!G292,"–")</f>
        <v>0.857142857142857</v>
      </c>
      <c r="D292" s="8" t="n">
        <f aca="false">IFERROR(Rohdaten!C292*100/(Rohdaten!H292*9),"–")</f>
        <v>33.3333333333333</v>
      </c>
      <c r="E292" s="8" t="n">
        <f aca="false">IFERROR(Rohdaten!C292*100/(Rohdaten!I292*4),"–")</f>
        <v>25</v>
      </c>
      <c r="F292" s="8" t="n">
        <f aca="false">IFERROR(Rohdaten!C292*100/(Rohdaten!J292*4),"–")</f>
        <v>0.806451612903226</v>
      </c>
      <c r="G292" s="9" t="n">
        <f aca="false">IFERROR(Rohdaten!C292*100/Rohdaten!K292,"–")</f>
        <v>0.740740740740741</v>
      </c>
      <c r="H292" s="8" t="n">
        <f aca="false">IFERROR(Rohdaten!C292*100/Rohdaten!L292,"–")</f>
        <v>8</v>
      </c>
      <c r="I292" s="9" t="str">
        <f aca="false">IFERROR(Rohdaten!C292*100/Rohdaten!M292,"–")</f>
        <v>–</v>
      </c>
      <c r="J292" s="8" t="n">
        <f aca="false">IFERROR(Rohdaten!C292*100/Rohdaten!N292,"–")</f>
        <v>85.7142857142857</v>
      </c>
      <c r="K292" s="9" t="n">
        <f aca="false">IFERROR(Rohdaten!C292*100/Rohdaten!O292,"–")</f>
        <v>23.0769230769231</v>
      </c>
      <c r="L292" s="8" t="n">
        <f aca="false">IFERROR(Rohdaten!C292*100/Rohdaten!P292,"–")</f>
        <v>2000</v>
      </c>
      <c r="M292" s="8" t="n">
        <f aca="false">IFERROR(Rohdaten!C292*100/Rohdaten!Q292,"–")</f>
        <v>3000</v>
      </c>
      <c r="N292" s="8" t="n">
        <f aca="false">IFERROR(Rohdaten!C292*100/Rohdaten!R292,"–")</f>
        <v>300</v>
      </c>
      <c r="O292" s="8" t="n">
        <f aca="false">IFERROR(Rohdaten!C292*100/Rohdaten!S292,"–")</f>
        <v>600</v>
      </c>
      <c r="P292" s="9" t="n">
        <f aca="false">IFERROR(Rohdaten!C292*100/Rohdaten!T292,"–")</f>
        <v>7.5</v>
      </c>
      <c r="Q292" s="9" t="str">
        <f aca="false">IFERROR(Rohdaten!C292*100/Rohdaten!U292,"–")</f>
        <v>–</v>
      </c>
      <c r="R292" s="8" t="n">
        <f aca="false">IFERROR(Rohdaten!C292*100/Rohdaten!V292,"–")</f>
        <v>7.5</v>
      </c>
      <c r="S292" s="8" t="n">
        <f aca="false">IFERROR(Rohdaten!C292*100/Rohdaten!W292,"–")</f>
        <v>300</v>
      </c>
      <c r="T292" s="8" t="n">
        <f aca="false">IFERROR(Rohdaten!C292*100/Rohdaten!X292,"–")</f>
        <v>6.66666666666667</v>
      </c>
      <c r="U292" s="8" t="n">
        <f aca="false">IFERROR(Rohdaten!C292*100/Rohdaten!Y292,"–")</f>
        <v>600</v>
      </c>
      <c r="V292" s="8" t="n">
        <f aca="false">IFERROR(Rohdaten!C292*100/Rohdaten!Z292,"–")</f>
        <v>0.372670807453416</v>
      </c>
    </row>
    <row r="293" customFormat="false" ht="15" hidden="false" customHeight="true" outlineLevel="0" collapsed="false">
      <c r="A293" s="4" t="str">
        <f aca="false">Rohdaten!A293</f>
        <v>Maracuja</v>
      </c>
      <c r="B293" s="8" t="n">
        <f aca="false">Rohdaten!C293</f>
        <v>1</v>
      </c>
      <c r="C293" s="8" t="n">
        <f aca="false">IFERROR(Rohdaten!C293*100/Rohdaten!G293,"–")</f>
        <v>1.03092783505155</v>
      </c>
      <c r="D293" s="8" t="n">
        <f aca="false">IFERROR(Rohdaten!C293*100/(Rohdaten!H293*9),"–")</f>
        <v>15.8730158730159</v>
      </c>
      <c r="E293" s="8" t="n">
        <f aca="false">IFERROR(Rohdaten!C293*100/(Rohdaten!I293*4),"–")</f>
        <v>11.3636363636364</v>
      </c>
      <c r="F293" s="8" t="n">
        <f aca="false">IFERROR(Rohdaten!C293*100/(Rohdaten!J293*4),"–")</f>
        <v>1.08695652173913</v>
      </c>
      <c r="G293" s="9" t="n">
        <f aca="false">IFERROR(Rohdaten!C293*100/Rohdaten!K293,"–")</f>
        <v>1.5625</v>
      </c>
      <c r="H293" s="8" t="n">
        <f aca="false">IFERROR(Rohdaten!C293*100/Rohdaten!L293,"–")</f>
        <v>3.33333333333333</v>
      </c>
      <c r="I293" s="9" t="str">
        <f aca="false">IFERROR(Rohdaten!C293*100/Rohdaten!M293,"–")</f>
        <v>–</v>
      </c>
      <c r="J293" s="8" t="n">
        <f aca="false">IFERROR(Rohdaten!C293*100/Rohdaten!N293,"–")</f>
        <v>5000</v>
      </c>
      <c r="K293" s="9" t="n">
        <f aca="false">IFERROR(Rohdaten!C293*100/Rohdaten!O293,"–")</f>
        <v>142.857142857143</v>
      </c>
      <c r="L293" s="8" t="str">
        <f aca="false">IFERROR(Rohdaten!C293*100/Rohdaten!P293,"–")</f>
        <v>–</v>
      </c>
      <c r="M293" s="8" t="n">
        <f aca="false">IFERROR(Rohdaten!C293*100/Rohdaten!Q293,"–")</f>
        <v>769.230769230769</v>
      </c>
      <c r="N293" s="8" t="n">
        <f aca="false">IFERROR(Rohdaten!C293*100/Rohdaten!R293,"–")</f>
        <v>66.6666666666667</v>
      </c>
      <c r="O293" s="8" t="n">
        <f aca="false">IFERROR(Rohdaten!C293*100/Rohdaten!S293,"–")</f>
        <v>1000</v>
      </c>
      <c r="P293" s="9" t="n">
        <f aca="false">IFERROR(Rohdaten!C293*100/Rohdaten!T293,"–")</f>
        <v>7.14285714285714</v>
      </c>
      <c r="Q293" s="9" t="str">
        <f aca="false">IFERROR(Rohdaten!C293*100/Rohdaten!U293,"–")</f>
        <v>–</v>
      </c>
      <c r="R293" s="8" t="n">
        <f aca="false">IFERROR(Rohdaten!C293*100/Rohdaten!V293,"–")</f>
        <v>8.33333333333333</v>
      </c>
      <c r="S293" s="8" t="n">
        <f aca="false">IFERROR(Rohdaten!C293*100/Rohdaten!W293,"–")</f>
        <v>62.5</v>
      </c>
      <c r="T293" s="8" t="n">
        <f aca="false">IFERROR(Rohdaten!C293*100/Rohdaten!X293,"–")</f>
        <v>3.44827586206897</v>
      </c>
      <c r="U293" s="8" t="n">
        <f aca="false">IFERROR(Rohdaten!C293*100/Rohdaten!Y293,"–")</f>
        <v>1000</v>
      </c>
      <c r="V293" s="8" t="n">
        <f aca="false">IFERROR(Rohdaten!C293*100/Rohdaten!Z293,"–")</f>
        <v>0.28735632183908</v>
      </c>
    </row>
    <row r="294" customFormat="false" ht="15" hidden="false" customHeight="true" outlineLevel="0" collapsed="false">
      <c r="A294" s="4" t="str">
        <f aca="false">Rohdaten!A294</f>
        <v>Physalis</v>
      </c>
      <c r="B294" s="8" t="n">
        <f aca="false">Rohdaten!C294</f>
        <v>0.9</v>
      </c>
      <c r="C294" s="8" t="n">
        <f aca="false">IFERROR(Rohdaten!C294*100/Rohdaten!G294,"–")</f>
        <v>1.69811320754717</v>
      </c>
      <c r="D294" s="8" t="n">
        <f aca="false">IFERROR(Rohdaten!C294*100/(Rohdaten!H294*9),"–")</f>
        <v>14.2857142857143</v>
      </c>
      <c r="E294" s="8" t="n">
        <f aca="false">IFERROR(Rohdaten!C294*100/(Rohdaten!I294*4),"–")</f>
        <v>11.8421052631579</v>
      </c>
      <c r="F294" s="8" t="n">
        <f aca="false">IFERROR(Rohdaten!C294*100/(Rohdaten!J294*4),"–")</f>
        <v>2.04545454545455</v>
      </c>
      <c r="G294" s="9" t="n">
        <f aca="false">IFERROR(Rohdaten!C294*100/Rohdaten!K294,"–")</f>
        <v>2.5</v>
      </c>
      <c r="H294" s="8" t="n">
        <f aca="false">IFERROR(Rohdaten!C294*100/Rohdaten!L294,"–")</f>
        <v>8.18181818181818</v>
      </c>
      <c r="I294" s="9" t="str">
        <f aca="false">IFERROR(Rohdaten!C294*100/Rohdaten!M294,"–")</f>
        <v>–</v>
      </c>
      <c r="J294" s="8" t="str">
        <f aca="false">IFERROR(Rohdaten!C294*100/Rohdaten!N294,"–")</f>
        <v>–</v>
      </c>
      <c r="K294" s="9" t="str">
        <f aca="false">IFERROR(Rohdaten!C294*100/Rohdaten!O294,"–")</f>
        <v>–</v>
      </c>
      <c r="L294" s="8" t="n">
        <f aca="false">IFERROR(Rohdaten!C294*100/Rohdaten!P294,"–")</f>
        <v>900</v>
      </c>
      <c r="M294" s="8" t="n">
        <f aca="false">IFERROR(Rohdaten!C294*100/Rohdaten!Q294,"–")</f>
        <v>2250</v>
      </c>
      <c r="N294" s="8" t="n">
        <f aca="false">IFERROR(Rohdaten!C294*100/Rohdaten!R294,"–")</f>
        <v>33.3333333333333</v>
      </c>
      <c r="O294" s="8" t="n">
        <f aca="false">IFERROR(Rohdaten!C294*100/Rohdaten!S294,"–")</f>
        <v>1500</v>
      </c>
      <c r="P294" s="9" t="n">
        <f aca="false">IFERROR(Rohdaten!C294*100/Rohdaten!T294,"–")</f>
        <v>11.25</v>
      </c>
      <c r="Q294" s="9" t="str">
        <f aca="false">IFERROR(Rohdaten!C294*100/Rohdaten!U294,"–")</f>
        <v>–</v>
      </c>
      <c r="R294" s="8" t="n">
        <f aca="false">IFERROR(Rohdaten!C294*100/Rohdaten!V294,"–")</f>
        <v>10</v>
      </c>
      <c r="S294" s="8" t="n">
        <f aca="false">IFERROR(Rohdaten!C294*100/Rohdaten!W294,"–")</f>
        <v>90</v>
      </c>
      <c r="T294" s="8" t="n">
        <f aca="false">IFERROR(Rohdaten!C294*100/Rohdaten!X294,"–")</f>
        <v>4.73684210526316</v>
      </c>
      <c r="U294" s="8" t="n">
        <f aca="false">IFERROR(Rohdaten!C294*100/Rohdaten!Y294,"–")</f>
        <v>450</v>
      </c>
      <c r="V294" s="8" t="n">
        <f aca="false">IFERROR(Rohdaten!C294*100/Rohdaten!Z294,"–")</f>
        <v>0.452261306532663</v>
      </c>
    </row>
    <row r="295" customFormat="false" ht="15" hidden="false" customHeight="true" outlineLevel="0" collapsed="false">
      <c r="A295" s="4" t="str">
        <f aca="false">Rohdaten!A295</f>
        <v>Rosinen</v>
      </c>
      <c r="B295" s="8" t="n">
        <f aca="false">Rohdaten!C295</f>
        <v>1.6</v>
      </c>
      <c r="C295" s="8" t="n">
        <f aca="false">IFERROR(Rohdaten!C295*100/Rohdaten!G295,"–")</f>
        <v>0.535117056856187</v>
      </c>
      <c r="D295" s="8" t="n">
        <f aca="false">IFERROR(Rohdaten!C295*100/(Rohdaten!H295*9),"–")</f>
        <v>35.5555555555556</v>
      </c>
      <c r="E295" s="8" t="n">
        <f aca="false">IFERROR(Rohdaten!C295*100/(Rohdaten!I295*4),"–")</f>
        <v>12.9032258064516</v>
      </c>
      <c r="F295" s="8" t="n">
        <f aca="false">IFERROR(Rohdaten!C295*100/(Rohdaten!J295*4),"–")</f>
        <v>0.506329113924051</v>
      </c>
      <c r="G295" s="9" t="str">
        <f aca="false">IFERROR(Rohdaten!C295*100/Rohdaten!K295,"–")</f>
        <v>–</v>
      </c>
      <c r="H295" s="8" t="n">
        <f aca="false">IFERROR(Rohdaten!C295*100/Rohdaten!L295,"–")</f>
        <v>69.5652173913044</v>
      </c>
      <c r="I295" s="9" t="str">
        <f aca="false">IFERROR(Rohdaten!C295*100/Rohdaten!M295,"–")</f>
        <v>–</v>
      </c>
      <c r="J295" s="8" t="n">
        <f aca="false">IFERROR(Rohdaten!C295*100/Rohdaten!N295,"–")</f>
        <v>1600</v>
      </c>
      <c r="K295" s="9" t="n">
        <f aca="false">IFERROR(Rohdaten!C295*100/Rohdaten!O295,"–")</f>
        <v>45.7142857142857</v>
      </c>
      <c r="L295" s="8" t="n">
        <f aca="false">IFERROR(Rohdaten!C295*100/Rohdaten!P295,"–")</f>
        <v>1454.54545454545</v>
      </c>
      <c r="M295" s="8" t="n">
        <f aca="false">IFERROR(Rohdaten!C295*100/Rohdaten!Q295,"–")</f>
        <v>2000</v>
      </c>
      <c r="N295" s="8" t="n">
        <f aca="false">IFERROR(Rohdaten!C295*100/Rohdaten!R295,"–")</f>
        <v>200</v>
      </c>
      <c r="O295" s="8" t="n">
        <f aca="false">IFERROR(Rohdaten!C295*100/Rohdaten!S295,"–")</f>
        <v>941.176470588235</v>
      </c>
      <c r="P295" s="9" t="n">
        <f aca="false">IFERROR(Rohdaten!C295*100/Rohdaten!T295,"–")</f>
        <v>32</v>
      </c>
      <c r="Q295" s="9" t="str">
        <f aca="false">IFERROR(Rohdaten!C295*100/Rohdaten!U295,"–")</f>
        <v>–</v>
      </c>
      <c r="R295" s="8" t="n">
        <f aca="false">IFERROR(Rohdaten!C295*100/Rohdaten!V295,"–")</f>
        <v>3.2</v>
      </c>
      <c r="S295" s="8" t="n">
        <f aca="false">IFERROR(Rohdaten!C295*100/Rohdaten!W295,"–")</f>
        <v>84.2105263157895</v>
      </c>
      <c r="T295" s="8" t="n">
        <f aca="false">IFERROR(Rohdaten!C295*100/Rohdaten!X295,"–")</f>
        <v>5</v>
      </c>
      <c r="U295" s="8" t="n">
        <f aca="false">IFERROR(Rohdaten!C295*100/Rohdaten!Y295,"–")</f>
        <v>800</v>
      </c>
      <c r="V295" s="8" t="n">
        <f aca="false">IFERROR(Rohdaten!C295*100/Rohdaten!Z295,"–")</f>
        <v>0.213618157543391</v>
      </c>
    </row>
    <row r="296" customFormat="false" ht="15" hidden="false" customHeight="true" outlineLevel="0" collapsed="false">
      <c r="A296" s="4" t="str">
        <f aca="false">Rohdaten!A296</f>
        <v>Aprikosen, getrocknet</v>
      </c>
      <c r="B296" s="8" t="n">
        <f aca="false">Rohdaten!C296</f>
        <v>1.8</v>
      </c>
      <c r="C296" s="8" t="n">
        <f aca="false">IFERROR(Rohdaten!C296*100/Rohdaten!G296,"–")</f>
        <v>0.746887966804979</v>
      </c>
      <c r="D296" s="8" t="n">
        <f aca="false">IFERROR(Rohdaten!C296*100/(Rohdaten!H296*9),"–")</f>
        <v>40</v>
      </c>
      <c r="E296" s="8" t="n">
        <f aca="false">IFERROR(Rohdaten!C296*100/(Rohdaten!I296*4),"–")</f>
        <v>13.2352941176471</v>
      </c>
      <c r="F296" s="8" t="n">
        <f aca="false">IFERROR(Rohdaten!C296*100/(Rohdaten!J296*4),"–")</f>
        <v>0.714285714285714</v>
      </c>
      <c r="G296" s="9" t="n">
        <f aca="false">IFERROR(Rohdaten!C296*100/Rohdaten!K296,"–")</f>
        <v>1</v>
      </c>
      <c r="H296" s="8" t="n">
        <f aca="false">IFERROR(Rohdaten!C296*100/Rohdaten!L296,"–")</f>
        <v>180</v>
      </c>
      <c r="I296" s="9" t="str">
        <f aca="false">IFERROR(Rohdaten!C296*100/Rohdaten!M296,"–")</f>
        <v>–</v>
      </c>
      <c r="J296" s="8" t="n">
        <f aca="false">IFERROR(Rohdaten!C296*100/Rohdaten!N296,"–")</f>
        <v>41.8604651162791</v>
      </c>
      <c r="K296" s="9" t="n">
        <f aca="false">IFERROR(Rohdaten!C296*100/Rohdaten!O296,"–")</f>
        <v>58.0645161290323</v>
      </c>
      <c r="L296" s="8" t="str">
        <f aca="false">IFERROR(Rohdaten!C296*100/Rohdaten!P296,"–")</f>
        <v>–</v>
      </c>
      <c r="M296" s="8" t="n">
        <f aca="false">IFERROR(Rohdaten!C296*100/Rohdaten!Q296,"–")</f>
        <v>2571.42857142857</v>
      </c>
      <c r="N296" s="8" t="n">
        <f aca="false">IFERROR(Rohdaten!C296*100/Rohdaten!R296,"–")</f>
        <v>60</v>
      </c>
      <c r="O296" s="8" t="n">
        <f aca="false">IFERROR(Rohdaten!C296*100/Rohdaten!S296,"–")</f>
        <v>1285.71428571429</v>
      </c>
      <c r="P296" s="9" t="n">
        <f aca="false">IFERROR(Rohdaten!C296*100/Rohdaten!T296,"–")</f>
        <v>18</v>
      </c>
      <c r="Q296" s="9" t="str">
        <f aca="false">IFERROR(Rohdaten!C296*100/Rohdaten!U296,"–")</f>
        <v>–</v>
      </c>
      <c r="R296" s="8" t="n">
        <f aca="false">IFERROR(Rohdaten!C296*100/Rohdaten!V296,"–")</f>
        <v>3.27272727272727</v>
      </c>
      <c r="S296" s="8" t="n">
        <f aca="false">IFERROR(Rohdaten!C296*100/Rohdaten!W296,"–")</f>
        <v>66.6666666666667</v>
      </c>
      <c r="T296" s="8" t="n">
        <f aca="false">IFERROR(Rohdaten!C296*100/Rohdaten!X296,"–")</f>
        <v>5.625</v>
      </c>
      <c r="U296" s="8" t="n">
        <f aca="false">IFERROR(Rohdaten!C296*100/Rohdaten!Y296,"–")</f>
        <v>450</v>
      </c>
      <c r="V296" s="8" t="n">
        <f aca="false">IFERROR(Rohdaten!C296*100/Rohdaten!Z296,"–")</f>
        <v>0.155172413793103</v>
      </c>
    </row>
    <row r="297" customFormat="false" ht="15" hidden="false" customHeight="true" outlineLevel="0" collapsed="false">
      <c r="A297" s="4" t="str">
        <f aca="false">Rohdaten!A297</f>
        <v>Datteln, getrocknet</v>
      </c>
      <c r="B297" s="8" t="n">
        <f aca="false">Rohdaten!C297</f>
        <v>1.8</v>
      </c>
      <c r="C297" s="8" t="n">
        <f aca="false">IFERROR(Rohdaten!C297*100/Rohdaten!G297,"–")</f>
        <v>0.649819494584838</v>
      </c>
      <c r="D297" s="8" t="n">
        <f aca="false">IFERROR(Rohdaten!C297*100/(Rohdaten!H297*9),"–")</f>
        <v>50</v>
      </c>
      <c r="E297" s="8" t="n">
        <f aca="false">IFERROR(Rohdaten!C297*100/(Rohdaten!I297*4),"–")</f>
        <v>25</v>
      </c>
      <c r="F297" s="8" t="n">
        <f aca="false">IFERROR(Rohdaten!C297*100/(Rohdaten!J297*4),"–")</f>
        <v>0.6</v>
      </c>
      <c r="G297" s="9" t="str">
        <f aca="false">IFERROR(Rohdaten!C297*100/Rohdaten!K297,"–")</f>
        <v>–</v>
      </c>
      <c r="H297" s="8" t="str">
        <f aca="false">IFERROR(Rohdaten!C297*100/Rohdaten!L297,"–")</f>
        <v>–</v>
      </c>
      <c r="I297" s="9" t="str">
        <f aca="false">IFERROR(Rohdaten!C297*100/Rohdaten!M297,"–")</f>
        <v>–</v>
      </c>
      <c r="J297" s="8" t="n">
        <f aca="false">IFERROR(Rohdaten!C297*100/Rohdaten!N297,"–")</f>
        <v>1800</v>
      </c>
      <c r="K297" s="9" t="n">
        <f aca="false">IFERROR(Rohdaten!C297*100/Rohdaten!O297,"–")</f>
        <v>66.6666666666667</v>
      </c>
      <c r="L297" s="8" t="n">
        <f aca="false">IFERROR(Rohdaten!C297*100/Rohdaten!P297,"–")</f>
        <v>3600</v>
      </c>
      <c r="M297" s="8" t="n">
        <f aca="false">IFERROR(Rohdaten!C297*100/Rohdaten!Q297,"–")</f>
        <v>3000</v>
      </c>
      <c r="N297" s="8" t="n">
        <f aca="false">IFERROR(Rohdaten!C297*100/Rohdaten!R297,"–")</f>
        <v>138.461538461538</v>
      </c>
      <c r="O297" s="8" t="n">
        <f aca="false">IFERROR(Rohdaten!C297*100/Rohdaten!S297,"–")</f>
        <v>1200</v>
      </c>
      <c r="P297" s="9" t="n">
        <f aca="false">IFERROR(Rohdaten!C297*100/Rohdaten!T297,"–")</f>
        <v>12</v>
      </c>
      <c r="Q297" s="9" t="str">
        <f aca="false">IFERROR(Rohdaten!C297*100/Rohdaten!U297,"–")</f>
        <v>–</v>
      </c>
      <c r="R297" s="8" t="n">
        <f aca="false">IFERROR(Rohdaten!C297*100/Rohdaten!V297,"–")</f>
        <v>4.61538461538462</v>
      </c>
      <c r="S297" s="8" t="n">
        <f aca="false">IFERROR(Rohdaten!C297*100/Rohdaten!W297,"–")</f>
        <v>180</v>
      </c>
      <c r="T297" s="8" t="n">
        <f aca="false">IFERROR(Rohdaten!C297*100/Rohdaten!X297,"–")</f>
        <v>4.18604651162791</v>
      </c>
      <c r="U297" s="8" t="n">
        <f aca="false">IFERROR(Rohdaten!C297*100/Rohdaten!Y297,"–")</f>
        <v>450</v>
      </c>
      <c r="V297" s="8" t="n">
        <f aca="false">IFERROR(Rohdaten!C297*100/Rohdaten!Z297,"–")</f>
        <v>0.274390243902439</v>
      </c>
    </row>
    <row r="298" customFormat="false" ht="15" hidden="false" customHeight="true" outlineLevel="0" collapsed="false">
      <c r="A298" s="4" t="str">
        <f aca="false">Rohdaten!A298</f>
        <v>Feigen, getrocknet</v>
      </c>
      <c r="B298" s="8" t="n">
        <f aca="false">Rohdaten!C298</f>
        <v>1.8</v>
      </c>
      <c r="C298" s="8" t="n">
        <f aca="false">IFERROR(Rohdaten!C298*100/Rohdaten!G298,"–")</f>
        <v>0.72289156626506</v>
      </c>
      <c r="D298" s="8" t="n">
        <f aca="false">IFERROR(Rohdaten!C298*100/(Rohdaten!H298*9),"–")</f>
        <v>22.2222222222222</v>
      </c>
      <c r="E298" s="8" t="n">
        <f aca="false">IFERROR(Rohdaten!C298*100/(Rohdaten!I298*4),"–")</f>
        <v>13.6363636363636</v>
      </c>
      <c r="F298" s="8" t="n">
        <f aca="false">IFERROR(Rohdaten!C298*100/(Rohdaten!J298*4),"–")</f>
        <v>0.703125</v>
      </c>
      <c r="G298" s="9" t="str">
        <f aca="false">IFERROR(Rohdaten!C298*100/Rohdaten!K298,"–")</f>
        <v>–</v>
      </c>
      <c r="H298" s="8" t="n">
        <f aca="false">IFERROR(Rohdaten!C298*100/Rohdaten!L298,"–")</f>
        <v>180</v>
      </c>
      <c r="I298" s="9" t="str">
        <f aca="false">IFERROR(Rohdaten!C298*100/Rohdaten!M298,"–")</f>
        <v>–</v>
      </c>
      <c r="J298" s="8" t="n">
        <f aca="false">IFERROR(Rohdaten!C298*100/Rohdaten!N298,"–")</f>
        <v>450</v>
      </c>
      <c r="K298" s="9" t="n">
        <f aca="false">IFERROR(Rohdaten!C298*100/Rohdaten!O298,"–")</f>
        <v>11.5384615384615</v>
      </c>
      <c r="L298" s="8" t="n">
        <f aca="false">IFERROR(Rohdaten!C298*100/Rohdaten!P298,"–")</f>
        <v>2571.42857142857</v>
      </c>
      <c r="M298" s="8" t="n">
        <f aca="false">IFERROR(Rohdaten!C298*100/Rohdaten!Q298,"–")</f>
        <v>2000</v>
      </c>
      <c r="N298" s="8" t="n">
        <f aca="false">IFERROR(Rohdaten!C298*100/Rohdaten!R298,"–")</f>
        <v>300</v>
      </c>
      <c r="O298" s="8" t="n">
        <f aca="false">IFERROR(Rohdaten!C298*100/Rohdaten!S298,"–")</f>
        <v>1636.36363636364</v>
      </c>
      <c r="P298" s="9" t="n">
        <f aca="false">IFERROR(Rohdaten!C298*100/Rohdaten!T298,"–")</f>
        <v>18</v>
      </c>
      <c r="Q298" s="9" t="str">
        <f aca="false">IFERROR(Rohdaten!C298*100/Rohdaten!U298,"–")</f>
        <v>–</v>
      </c>
      <c r="R298" s="8" t="n">
        <f aca="false">IFERROR(Rohdaten!C298*100/Rohdaten!V298,"–")</f>
        <v>1.11111111111111</v>
      </c>
      <c r="S298" s="8" t="n">
        <f aca="false">IFERROR(Rohdaten!C298*100/Rohdaten!W298,"–")</f>
        <v>90</v>
      </c>
      <c r="T298" s="8" t="n">
        <f aca="false">IFERROR(Rohdaten!C298*100/Rohdaten!X298,"–")</f>
        <v>2.64705882352941</v>
      </c>
      <c r="U298" s="8" t="n">
        <f aca="false">IFERROR(Rohdaten!C298*100/Rohdaten!Y298,"–")</f>
        <v>300</v>
      </c>
      <c r="V298" s="8" t="n">
        <f aca="false">IFERROR(Rohdaten!C298*100/Rohdaten!Z298,"–")</f>
        <v>0.264705882352941</v>
      </c>
    </row>
    <row r="299" customFormat="false" ht="15" hidden="false" customHeight="true" outlineLevel="0" collapsed="false">
      <c r="A299" s="4" t="str">
        <f aca="false">Rohdaten!A299</f>
        <v>Pflaumen, getrocknet</v>
      </c>
      <c r="B299" s="8" t="n">
        <f aca="false">Rohdaten!C299</f>
        <v>1.6</v>
      </c>
      <c r="C299" s="8" t="n">
        <f aca="false">IFERROR(Rohdaten!C299*100/Rohdaten!G299,"–")</f>
        <v>0.666666666666667</v>
      </c>
      <c r="D299" s="8" t="n">
        <f aca="false">IFERROR(Rohdaten!C299*100/(Rohdaten!H299*9),"–")</f>
        <v>44.4444444444444</v>
      </c>
      <c r="E299" s="8" t="n">
        <f aca="false">IFERROR(Rohdaten!C299*100/(Rohdaten!I299*4),"–")</f>
        <v>18.1818181818182</v>
      </c>
      <c r="F299" s="8" t="n">
        <f aca="false">IFERROR(Rohdaten!C299*100/(Rohdaten!J299*4),"–")</f>
        <v>0.625</v>
      </c>
      <c r="G299" s="9" t="n">
        <f aca="false">IFERROR(Rohdaten!C299*100/Rohdaten!K299,"–")</f>
        <v>4.1025641025641</v>
      </c>
      <c r="H299" s="8" t="n">
        <f aca="false">IFERROR(Rohdaten!C299*100/Rohdaten!L299,"–")</f>
        <v>266.666666666667</v>
      </c>
      <c r="I299" s="9" t="str">
        <f aca="false">IFERROR(Rohdaten!C299*100/Rohdaten!M299,"–")</f>
        <v>–</v>
      </c>
      <c r="J299" s="8" t="n">
        <f aca="false">IFERROR(Rohdaten!C299*100/Rohdaten!N299,"–")</f>
        <v>400</v>
      </c>
      <c r="K299" s="9" t="n">
        <f aca="false">IFERROR(Rohdaten!C299*100/Rohdaten!O299,"–")</f>
        <v>2.66666666666667</v>
      </c>
      <c r="L299" s="8" t="n">
        <f aca="false">IFERROR(Rohdaten!C299*100/Rohdaten!P299,"–")</f>
        <v>3200</v>
      </c>
      <c r="M299" s="8" t="n">
        <f aca="false">IFERROR(Rohdaten!C299*100/Rohdaten!Q299,"–")</f>
        <v>842.105263157895</v>
      </c>
      <c r="N299" s="8" t="n">
        <f aca="false">IFERROR(Rohdaten!C299*100/Rohdaten!R299,"–")</f>
        <v>84.2105263157895</v>
      </c>
      <c r="O299" s="8" t="n">
        <f aca="false">IFERROR(Rohdaten!C299*100/Rohdaten!S299,"–")</f>
        <v>761.904761904762</v>
      </c>
      <c r="P299" s="9" t="n">
        <f aca="false">IFERROR(Rohdaten!C299*100/Rohdaten!T299,"–")</f>
        <v>40</v>
      </c>
      <c r="Q299" s="9" t="str">
        <f aca="false">IFERROR(Rohdaten!C299*100/Rohdaten!U299,"–")</f>
        <v>–</v>
      </c>
      <c r="R299" s="8" t="n">
        <f aca="false">IFERROR(Rohdaten!C299*100/Rohdaten!V299,"–")</f>
        <v>3.72093023255814</v>
      </c>
      <c r="S299" s="8" t="n">
        <f aca="false">IFERROR(Rohdaten!C299*100/Rohdaten!W299,"–")</f>
        <v>177.777777777778</v>
      </c>
      <c r="T299" s="8" t="n">
        <f aca="false">IFERROR(Rohdaten!C299*100/Rohdaten!X299,"–")</f>
        <v>3.90243902439024</v>
      </c>
      <c r="U299" s="8" t="n">
        <f aca="false">IFERROR(Rohdaten!C299*100/Rohdaten!Y299,"–")</f>
        <v>400</v>
      </c>
      <c r="V299" s="8" t="n">
        <f aca="false">IFERROR(Rohdaten!C299*100/Rohdaten!Z299,"–")</f>
        <v>0.218579234972678</v>
      </c>
    </row>
    <row r="300" customFormat="false" ht="15" hidden="false" customHeight="true" outlineLevel="0" collapsed="false">
      <c r="A300" s="4" t="str">
        <f aca="false">Rohdaten!A300</f>
        <v>Hering</v>
      </c>
      <c r="B300" s="8" t="n">
        <f aca="false">Rohdaten!C300</f>
        <v>1.2</v>
      </c>
      <c r="C300" s="8" t="n">
        <f aca="false">IFERROR(Rohdaten!C300*100/Rohdaten!G300,"–")</f>
        <v>0.759493670886076</v>
      </c>
      <c r="D300" s="8" t="n">
        <f aca="false">IFERROR(Rohdaten!C300*100/(Rohdaten!H300*9),"–")</f>
        <v>1.48148148148148</v>
      </c>
      <c r="E300" s="8" t="n">
        <f aca="false">IFERROR(Rohdaten!C300*100/(Rohdaten!I300*4),"–")</f>
        <v>1.66666666666667</v>
      </c>
      <c r="F300" s="8" t="str">
        <f aca="false">IFERROR(Rohdaten!C300*100/(Rohdaten!J300*4),"–")</f>
        <v>–</v>
      </c>
      <c r="G300" s="9" t="n">
        <f aca="false">IFERROR(Rohdaten!C300*100/Rohdaten!K300,"–")</f>
        <v>3</v>
      </c>
      <c r="H300" s="8" t="str">
        <f aca="false">IFERROR(Rohdaten!C300*100/Rohdaten!L300,"–")</f>
        <v>–</v>
      </c>
      <c r="I300" s="9" t="n">
        <f aca="false">IFERROR(Rohdaten!C300*100/Rohdaten!M300,"–")</f>
        <v>6</v>
      </c>
      <c r="J300" s="8" t="n">
        <f aca="false">IFERROR(Rohdaten!C300*100/Rohdaten!N300,"–")</f>
        <v>100</v>
      </c>
      <c r="K300" s="9" t="n">
        <f aca="false">IFERROR(Rohdaten!C300*100/Rohdaten!O300,"–")</f>
        <v>1200</v>
      </c>
      <c r="L300" s="8" t="n">
        <f aca="false">IFERROR(Rohdaten!C300*100/Rohdaten!P300,"–")</f>
        <v>3000</v>
      </c>
      <c r="M300" s="8" t="n">
        <f aca="false">IFERROR(Rohdaten!C300*100/Rohdaten!Q300,"–")</f>
        <v>521.739130434783</v>
      </c>
      <c r="N300" s="8" t="n">
        <f aca="false">IFERROR(Rohdaten!C300*100/Rohdaten!R300,"–")</f>
        <v>32.4324324324324</v>
      </c>
      <c r="O300" s="8" t="n">
        <f aca="false">IFERROR(Rohdaten!C300*100/Rohdaten!S300,"–")</f>
        <v>400</v>
      </c>
      <c r="P300" s="9" t="n">
        <f aca="false">IFERROR(Rohdaten!C300*100/Rohdaten!T300,"–")</f>
        <v>12</v>
      </c>
      <c r="Q300" s="9" t="n">
        <f aca="false">IFERROR(Rohdaten!C300*100/Rohdaten!U300,"–")</f>
        <v>12</v>
      </c>
      <c r="R300" s="8" t="n">
        <f aca="false">IFERROR(Rohdaten!C300*100/Rohdaten!V300,"–")</f>
        <v>2</v>
      </c>
      <c r="S300" s="8" t="n">
        <f aca="false">IFERROR(Rohdaten!C300*100/Rohdaten!W300,"–")</f>
        <v>109.090909090909</v>
      </c>
      <c r="T300" s="8" t="n">
        <f aca="false">IFERROR(Rohdaten!C300*100/Rohdaten!X300,"–")</f>
        <v>3.75</v>
      </c>
      <c r="U300" s="8" t="n">
        <f aca="false">IFERROR(Rohdaten!C300*100/Rohdaten!Y300,"–")</f>
        <v>120</v>
      </c>
      <c r="V300" s="8" t="n">
        <f aca="false">IFERROR(Rohdaten!C300*100/Rohdaten!Z300,"–")</f>
        <v>0.342857142857143</v>
      </c>
    </row>
    <row r="301" customFormat="false" ht="15" hidden="false" customHeight="true" outlineLevel="0" collapsed="false">
      <c r="A301" s="4" t="str">
        <f aca="false">Rohdaten!A301</f>
        <v>Makrele</v>
      </c>
      <c r="B301" s="8" t="n">
        <f aca="false">Rohdaten!C301</f>
        <v>1.5</v>
      </c>
      <c r="C301" s="8" t="n">
        <f aca="false">IFERROR(Rohdaten!C301*100/Rohdaten!G301,"–")</f>
        <v>0.731707317073171</v>
      </c>
      <c r="D301" s="8" t="n">
        <f aca="false">IFERROR(Rohdaten!C301*100/(Rohdaten!H301*9),"–")</f>
        <v>1.19047619047619</v>
      </c>
      <c r="E301" s="8" t="n">
        <f aca="false">IFERROR(Rohdaten!C301*100/(Rohdaten!I301*4),"–")</f>
        <v>1.97368421052632</v>
      </c>
      <c r="F301" s="8" t="str">
        <f aca="false">IFERROR(Rohdaten!C301*100/(Rohdaten!J301*4),"–")</f>
        <v>–</v>
      </c>
      <c r="G301" s="9" t="n">
        <f aca="false">IFERROR(Rohdaten!C301*100/Rohdaten!K301,"–")</f>
        <v>3.33333333333333</v>
      </c>
      <c r="H301" s="8" t="str">
        <f aca="false">IFERROR(Rohdaten!C301*100/Rohdaten!L301,"–")</f>
        <v>–</v>
      </c>
      <c r="I301" s="9" t="n">
        <f aca="false">IFERROR(Rohdaten!C301*100/Rohdaten!M301,"–")</f>
        <v>9.375</v>
      </c>
      <c r="J301" s="8" t="n">
        <f aca="false">IFERROR(Rohdaten!C301*100/Rohdaten!N301,"–")</f>
        <v>100</v>
      </c>
      <c r="K301" s="9" t="n">
        <f aca="false">IFERROR(Rohdaten!C301*100/Rohdaten!O301,"–")</f>
        <v>1500</v>
      </c>
      <c r="L301" s="8" t="n">
        <f aca="false">IFERROR(Rohdaten!C301*100/Rohdaten!P301,"–")</f>
        <v>833.333333333333</v>
      </c>
      <c r="M301" s="8" t="n">
        <f aca="false">IFERROR(Rohdaten!C301*100/Rohdaten!Q301,"–")</f>
        <v>428.571428571429</v>
      </c>
      <c r="N301" s="8" t="n">
        <f aca="false">IFERROR(Rohdaten!C301*100/Rohdaten!R301,"–")</f>
        <v>16.4835164835165</v>
      </c>
      <c r="O301" s="8" t="n">
        <f aca="false">IFERROR(Rohdaten!C301*100/Rohdaten!S301,"–")</f>
        <v>375</v>
      </c>
      <c r="P301" s="9" t="n">
        <f aca="false">IFERROR(Rohdaten!C301*100/Rohdaten!T301,"–")</f>
        <v>150</v>
      </c>
      <c r="Q301" s="9" t="n">
        <f aca="false">IFERROR(Rohdaten!C301*100/Rohdaten!U301,"–")</f>
        <v>17.2413793103448</v>
      </c>
      <c r="R301" s="8" t="n">
        <f aca="false">IFERROR(Rohdaten!C301*100/Rohdaten!V301,"–")</f>
        <v>12.5</v>
      </c>
      <c r="S301" s="8" t="n">
        <f aca="false">IFERROR(Rohdaten!C301*100/Rohdaten!W301,"–")</f>
        <v>93.75</v>
      </c>
      <c r="T301" s="8" t="n">
        <f aca="false">IFERROR(Rohdaten!C301*100/Rohdaten!X301,"–")</f>
        <v>1.97368421052632</v>
      </c>
      <c r="U301" s="8" t="n">
        <f aca="false">IFERROR(Rohdaten!C301*100/Rohdaten!Y301,"–")</f>
        <v>250</v>
      </c>
      <c r="V301" s="8" t="n">
        <f aca="false">IFERROR(Rohdaten!C301*100/Rohdaten!Z301,"–")</f>
        <v>0.477707006369427</v>
      </c>
    </row>
    <row r="302" customFormat="false" ht="15" hidden="false" customHeight="true" outlineLevel="0" collapsed="false">
      <c r="A302" s="4" t="str">
        <f aca="false">Rohdaten!A302</f>
        <v>Sardine, frisch</v>
      </c>
      <c r="B302" s="8" t="n">
        <f aca="false">Rohdaten!C302</f>
        <v>1.3</v>
      </c>
      <c r="C302" s="8" t="n">
        <f aca="false">IFERROR(Rohdaten!C302*100/Rohdaten!G302,"–")</f>
        <v>0.625</v>
      </c>
      <c r="D302" s="8" t="n">
        <f aca="false">IFERROR(Rohdaten!C302*100/(Rohdaten!H302*9),"–")</f>
        <v>1.31313131313131</v>
      </c>
      <c r="E302" s="8" t="n">
        <f aca="false">IFERROR(Rohdaten!C302*100/(Rohdaten!I302*4),"–")</f>
        <v>1.3</v>
      </c>
      <c r="F302" s="8" t="str">
        <f aca="false">IFERROR(Rohdaten!C302*100/(Rohdaten!J302*4),"–")</f>
        <v>–</v>
      </c>
      <c r="G302" s="9" t="n">
        <f aca="false">IFERROR(Rohdaten!C302*100/Rohdaten!K302,"–")</f>
        <v>4.0625</v>
      </c>
      <c r="H302" s="8" t="str">
        <f aca="false">IFERROR(Rohdaten!C302*100/Rohdaten!L302,"–")</f>
        <v>–</v>
      </c>
      <c r="I302" s="9" t="n">
        <f aca="false">IFERROR(Rohdaten!C302*100/Rohdaten!M302,"–")</f>
        <v>27.0833333333333</v>
      </c>
      <c r="J302" s="8" t="n">
        <f aca="false">IFERROR(Rohdaten!C302*100/Rohdaten!N302,"–")</f>
        <v>65</v>
      </c>
      <c r="K302" s="9" t="n">
        <f aca="false">IFERROR(Rohdaten!C302*100/Rohdaten!O302,"–")</f>
        <v>1300</v>
      </c>
      <c r="L302" s="8" t="n">
        <f aca="false">IFERROR(Rohdaten!C302*100/Rohdaten!P302,"–")</f>
        <v>6500</v>
      </c>
      <c r="M302" s="8" t="n">
        <f aca="false">IFERROR(Rohdaten!C302*100/Rohdaten!Q302,"–")</f>
        <v>565.217391304348</v>
      </c>
      <c r="N302" s="8" t="n">
        <f aca="false">IFERROR(Rohdaten!C302*100/Rohdaten!R302,"–")</f>
        <v>25</v>
      </c>
      <c r="O302" s="8" t="n">
        <f aca="false">IFERROR(Rohdaten!C302*100/Rohdaten!S302,"–")</f>
        <v>684.21052631579</v>
      </c>
      <c r="P302" s="9" t="n">
        <f aca="false">IFERROR(Rohdaten!C302*100/Rohdaten!T302,"–")</f>
        <v>11.8181818181818</v>
      </c>
      <c r="Q302" s="9" t="n">
        <f aca="false">IFERROR(Rohdaten!C302*100/Rohdaten!U302,"–")</f>
        <v>14.6067415730337</v>
      </c>
      <c r="R302" s="8" t="n">
        <f aca="false">IFERROR(Rohdaten!C302*100/Rohdaten!V302,"–")</f>
        <v>0.340314136125655</v>
      </c>
      <c r="S302" s="8" t="n">
        <f aca="false">IFERROR(Rohdaten!C302*100/Rohdaten!W302,"–")</f>
        <v>44.8275862068966</v>
      </c>
      <c r="T302" s="8" t="n">
        <f aca="false">IFERROR(Rohdaten!C302*100/Rohdaten!X302,"–")</f>
        <v>3.33333333333333</v>
      </c>
      <c r="U302" s="8" t="n">
        <f aca="false">IFERROR(Rohdaten!C302*100/Rohdaten!Y302,"–")</f>
        <v>92.8571428571429</v>
      </c>
      <c r="V302" s="8" t="n">
        <f aca="false">IFERROR(Rohdaten!C302*100/Rohdaten!Z302,"–")</f>
        <v>0.327455919395466</v>
      </c>
    </row>
    <row r="303" customFormat="false" ht="15" hidden="false" customHeight="true" outlineLevel="0" collapsed="false">
      <c r="A303" s="4" t="str">
        <f aca="false">Rohdaten!A303</f>
        <v>Sardelle/Anchovis</v>
      </c>
      <c r="B303" s="8" t="n">
        <f aca="false">Rohdaten!C303</f>
        <v>1.5</v>
      </c>
      <c r="C303" s="8" t="n">
        <f aca="false">IFERROR(Rohdaten!C303*100/Rohdaten!G303,"–")</f>
        <v>1.14503816793893</v>
      </c>
      <c r="D303" s="8" t="n">
        <f aca="false">IFERROR(Rohdaten!C303*100/(Rohdaten!H303*9),"–")</f>
        <v>3.47222222222222</v>
      </c>
      <c r="E303" s="8" t="n">
        <f aca="false">IFERROR(Rohdaten!C303*100/(Rohdaten!I303*4),"–")</f>
        <v>1.875</v>
      </c>
      <c r="F303" s="8" t="str">
        <f aca="false">IFERROR(Rohdaten!C303*100/(Rohdaten!J303*4),"–")</f>
        <v>–</v>
      </c>
      <c r="G303" s="9" t="n">
        <f aca="false">IFERROR(Rohdaten!C303*100/Rohdaten!K303,"–")</f>
        <v>10</v>
      </c>
      <c r="H303" s="8" t="str">
        <f aca="false">IFERROR(Rohdaten!C303*100/Rohdaten!L303,"–")</f>
        <v>–</v>
      </c>
      <c r="I303" s="9" t="n">
        <f aca="false">IFERROR(Rohdaten!C303*100/Rohdaten!M303,"–")</f>
        <v>22.3880597014925</v>
      </c>
      <c r="J303" s="8" t="n">
        <f aca="false">IFERROR(Rohdaten!C303*100/Rohdaten!N303,"–")</f>
        <v>214.285714285714</v>
      </c>
      <c r="K303" s="9" t="n">
        <f aca="false">IFERROR(Rohdaten!C303*100/Rohdaten!O303,"–")</f>
        <v>1500</v>
      </c>
      <c r="L303" s="8" t="n">
        <f aca="false">IFERROR(Rohdaten!C303*100/Rohdaten!P303,"–")</f>
        <v>5000</v>
      </c>
      <c r="M303" s="8" t="n">
        <f aca="false">IFERROR(Rohdaten!C303*100/Rohdaten!Q303,"–")</f>
        <v>576.923076923077</v>
      </c>
      <c r="N303" s="8" t="n">
        <f aca="false">IFERROR(Rohdaten!C303*100/Rohdaten!R303,"–")</f>
        <v>10.7142857142857</v>
      </c>
      <c r="O303" s="8" t="n">
        <f aca="false">IFERROR(Rohdaten!C303*100/Rohdaten!S303,"–")</f>
        <v>937.5</v>
      </c>
      <c r="P303" s="9" t="n">
        <f aca="false">IFERROR(Rohdaten!C303*100/Rohdaten!T303,"–")</f>
        <v>15</v>
      </c>
      <c r="Q303" s="9" t="n">
        <f aca="false">IFERROR(Rohdaten!C303*100/Rohdaten!U303,"–")</f>
        <v>375</v>
      </c>
      <c r="R303" s="8" t="n">
        <f aca="false">IFERROR(Rohdaten!C303*100/Rohdaten!V303,"–")</f>
        <v>1.02040816326531</v>
      </c>
      <c r="S303" s="8" t="n">
        <f aca="false">IFERROR(Rohdaten!C303*100/Rohdaten!W303,"–")</f>
        <v>45.4545454545455</v>
      </c>
      <c r="T303" s="8" t="n">
        <f aca="false">IFERROR(Rohdaten!C303*100/Rohdaten!X303,"–")</f>
        <v>3.65853658536585</v>
      </c>
      <c r="U303" s="8" t="n">
        <f aca="false">IFERROR(Rohdaten!C303*100/Rohdaten!Y303,"–")</f>
        <v>100</v>
      </c>
      <c r="V303" s="8" t="n">
        <f aca="false">IFERROR(Rohdaten!C303*100/Rohdaten!Z303,"–")</f>
        <v>0.391644908616188</v>
      </c>
    </row>
    <row r="304" customFormat="false" ht="15" hidden="false" customHeight="true" outlineLevel="0" collapsed="false">
      <c r="A304" s="4" t="str">
        <f aca="false">Rohdaten!A304</f>
        <v>Kabeljau/Dorsch</v>
      </c>
      <c r="B304" s="8" t="n">
        <f aca="false">Rohdaten!C304</f>
        <v>2.5</v>
      </c>
      <c r="C304" s="8" t="n">
        <f aca="false">IFERROR(Rohdaten!C304*100/Rohdaten!G304,"–")</f>
        <v>3.04878048780488</v>
      </c>
      <c r="D304" s="8" t="n">
        <f aca="false">IFERROR(Rohdaten!C304*100/(Rohdaten!H304*9),"–")</f>
        <v>39.6825396825397</v>
      </c>
      <c r="E304" s="8" t="n">
        <f aca="false">IFERROR(Rohdaten!C304*100/(Rohdaten!I304*4),"–")</f>
        <v>3.47222222222222</v>
      </c>
      <c r="F304" s="8" t="str">
        <f aca="false">IFERROR(Rohdaten!C304*100/(Rohdaten!J304*4),"–")</f>
        <v>–</v>
      </c>
      <c r="G304" s="9" t="n">
        <f aca="false">IFERROR(Rohdaten!C304*100/Rohdaten!K304,"–")</f>
        <v>20.8333333333333</v>
      </c>
      <c r="H304" s="8" t="n">
        <f aca="false">IFERROR(Rohdaten!C304*100/Rohdaten!L304,"–")</f>
        <v>250</v>
      </c>
      <c r="I304" s="9" t="n">
        <f aca="false">IFERROR(Rohdaten!C304*100/Rohdaten!M304,"–")</f>
        <v>250</v>
      </c>
      <c r="J304" s="8" t="n">
        <f aca="false">IFERROR(Rohdaten!C304*100/Rohdaten!N304,"–")</f>
        <v>416.666666666667</v>
      </c>
      <c r="K304" s="9" t="n">
        <f aca="false">IFERROR(Rohdaten!C304*100/Rohdaten!O304,"–")</f>
        <v>2500</v>
      </c>
      <c r="L304" s="8" t="n">
        <f aca="false">IFERROR(Rohdaten!C304*100/Rohdaten!P304,"–")</f>
        <v>3125</v>
      </c>
      <c r="M304" s="8" t="n">
        <f aca="false">IFERROR(Rohdaten!C304*100/Rohdaten!Q304,"–")</f>
        <v>4166.66666666667</v>
      </c>
      <c r="N304" s="8" t="n">
        <f aca="false">IFERROR(Rohdaten!C304*100/Rohdaten!R304,"–")</f>
        <v>119.047619047619</v>
      </c>
      <c r="O304" s="8" t="n">
        <f aca="false">IFERROR(Rohdaten!C304*100/Rohdaten!S304,"–")</f>
        <v>1250</v>
      </c>
      <c r="P304" s="9" t="n">
        <f aca="false">IFERROR(Rohdaten!C304*100/Rohdaten!T304,"–")</f>
        <v>35.7142857142857</v>
      </c>
      <c r="Q304" s="9" t="n">
        <f aca="false">IFERROR(Rohdaten!C304*100/Rohdaten!U304,"–")</f>
        <v>277.777777777778</v>
      </c>
      <c r="R304" s="8" t="n">
        <f aca="false">IFERROR(Rohdaten!C304*100/Rohdaten!V304,"–")</f>
        <v>15.625</v>
      </c>
      <c r="S304" s="8" t="n">
        <f aca="false">IFERROR(Rohdaten!C304*100/Rohdaten!W304,"–")</f>
        <v>625</v>
      </c>
      <c r="T304" s="8" t="n">
        <f aca="false">IFERROR(Rohdaten!C304*100/Rohdaten!X304,"–")</f>
        <v>7.8125</v>
      </c>
      <c r="U304" s="8" t="n">
        <f aca="false">IFERROR(Rohdaten!C304*100/Rohdaten!Y304,"–")</f>
        <v>500</v>
      </c>
      <c r="V304" s="8" t="n">
        <f aca="false">IFERROR(Rohdaten!C304*100/Rohdaten!Z304,"–")</f>
        <v>0.605326876513317</v>
      </c>
    </row>
    <row r="305" customFormat="false" ht="15" hidden="false" customHeight="true" outlineLevel="0" collapsed="false">
      <c r="A305" s="4" t="str">
        <f aca="false">Rohdaten!A305</f>
        <v>Seelachs/Pollack</v>
      </c>
      <c r="B305" s="8" t="n">
        <f aca="false">Rohdaten!C305</f>
        <v>2.2</v>
      </c>
      <c r="C305" s="8" t="n">
        <f aca="false">IFERROR(Rohdaten!C305*100/Rohdaten!G305,"–")</f>
        <v>2.44444444444444</v>
      </c>
      <c r="D305" s="8" t="n">
        <f aca="false">IFERROR(Rohdaten!C305*100/(Rohdaten!H305*9),"–")</f>
        <v>27.1604938271605</v>
      </c>
      <c r="E305" s="8" t="n">
        <f aca="false">IFERROR(Rohdaten!C305*100/(Rohdaten!I305*4),"–")</f>
        <v>2.89473684210526</v>
      </c>
      <c r="F305" s="8" t="str">
        <f aca="false">IFERROR(Rohdaten!C305*100/(Rohdaten!J305*4),"–")</f>
        <v>–</v>
      </c>
      <c r="G305" s="9" t="n">
        <f aca="false">IFERROR(Rohdaten!C305*100/Rohdaten!K305,"–")</f>
        <v>14.6666666666667</v>
      </c>
      <c r="H305" s="8" t="str">
        <f aca="false">IFERROR(Rohdaten!C305*100/Rohdaten!L305,"–")</f>
        <v>–</v>
      </c>
      <c r="I305" s="9" t="n">
        <f aca="false">IFERROR(Rohdaten!C305*100/Rohdaten!M305,"–")</f>
        <v>66.6666666666667</v>
      </c>
      <c r="J305" s="8" t="n">
        <f aca="false">IFERROR(Rohdaten!C305*100/Rohdaten!N305,"–")</f>
        <v>440</v>
      </c>
      <c r="K305" s="9" t="n">
        <f aca="false">IFERROR(Rohdaten!C305*100/Rohdaten!O305,"–")</f>
        <v>2200</v>
      </c>
      <c r="L305" s="8" t="n">
        <f aca="false">IFERROR(Rohdaten!C305*100/Rohdaten!P305,"–")</f>
        <v>2200</v>
      </c>
      <c r="M305" s="8" t="n">
        <f aca="false">IFERROR(Rohdaten!C305*100/Rohdaten!Q305,"–")</f>
        <v>2200</v>
      </c>
      <c r="N305" s="8" t="n">
        <f aca="false">IFERROR(Rohdaten!C305*100/Rohdaten!R305,"–")</f>
        <v>88</v>
      </c>
      <c r="O305" s="8" t="n">
        <f aca="false">IFERROR(Rohdaten!C305*100/Rohdaten!S305,"–")</f>
        <v>733.333333333334</v>
      </c>
      <c r="P305" s="9" t="n">
        <f aca="false">IFERROR(Rohdaten!C305*100/Rohdaten!T305,"–")</f>
        <v>36.6666666666667</v>
      </c>
      <c r="Q305" s="9" t="n">
        <f aca="false">IFERROR(Rohdaten!C305*100/Rohdaten!U305,"–")</f>
        <v>62.8571428571429</v>
      </c>
      <c r="R305" s="8" t="n">
        <f aca="false">IFERROR(Rohdaten!C305*100/Rohdaten!V305,"–")</f>
        <v>3.66666666666667</v>
      </c>
      <c r="S305" s="8" t="n">
        <f aca="false">IFERROR(Rohdaten!C305*100/Rohdaten!W305,"–")</f>
        <v>550</v>
      </c>
      <c r="T305" s="8" t="n">
        <f aca="false">IFERROR(Rohdaten!C305*100/Rohdaten!X305,"–")</f>
        <v>3.38461538461539</v>
      </c>
      <c r="U305" s="8" t="n">
        <f aca="false">IFERROR(Rohdaten!C305*100/Rohdaten!Y305,"–")</f>
        <v>440</v>
      </c>
      <c r="V305" s="8" t="n">
        <f aca="false">IFERROR(Rohdaten!C305*100/Rohdaten!Z305,"–")</f>
        <v>0.578947368421053</v>
      </c>
    </row>
    <row r="306" customFormat="false" ht="15" hidden="false" customHeight="true" outlineLevel="0" collapsed="false">
      <c r="A306" s="4" t="str">
        <f aca="false">Rohdaten!A306</f>
        <v>Scholle</v>
      </c>
      <c r="B306" s="8" t="n">
        <f aca="false">Rohdaten!C306</f>
        <v>2.5</v>
      </c>
      <c r="C306" s="8" t="n">
        <f aca="false">IFERROR(Rohdaten!C306*100/Rohdaten!G306,"–")</f>
        <v>2.74725274725275</v>
      </c>
      <c r="D306" s="8" t="n">
        <f aca="false">IFERROR(Rohdaten!C306*100/(Rohdaten!H306*9),"–")</f>
        <v>23.1481481481482</v>
      </c>
      <c r="E306" s="8" t="n">
        <f aca="false">IFERROR(Rohdaten!C306*100/(Rohdaten!I306*4),"–")</f>
        <v>3.67647058823529</v>
      </c>
      <c r="F306" s="8" t="str">
        <f aca="false">IFERROR(Rohdaten!C306*100/(Rohdaten!J306*4),"–")</f>
        <v>–</v>
      </c>
      <c r="G306" s="9" t="n">
        <f aca="false">IFERROR(Rohdaten!C306*100/Rohdaten!K306,"–")</f>
        <v>11.3636363636364</v>
      </c>
      <c r="H306" s="8" t="str">
        <f aca="false">IFERROR(Rohdaten!C306*100/Rohdaten!L306,"–")</f>
        <v>–</v>
      </c>
      <c r="I306" s="9" t="n">
        <f aca="false">IFERROR(Rohdaten!C306*100/Rohdaten!M306,"–")</f>
        <v>96.1538461538462</v>
      </c>
      <c r="J306" s="8" t="n">
        <f aca="false">IFERROR(Rohdaten!C306*100/Rohdaten!N306,"–")</f>
        <v>416.666666666667</v>
      </c>
      <c r="K306" s="9" t="n">
        <f aca="false">IFERROR(Rohdaten!C306*100/Rohdaten!O306,"–")</f>
        <v>2500</v>
      </c>
      <c r="L306" s="8" t="n">
        <f aca="false">IFERROR(Rohdaten!C306*100/Rohdaten!P306,"–")</f>
        <v>4166.66666666667</v>
      </c>
      <c r="M306" s="8" t="n">
        <f aca="false">IFERROR(Rohdaten!C306*100/Rohdaten!Q306,"–")</f>
        <v>2500</v>
      </c>
      <c r="N306" s="8" t="n">
        <f aca="false">IFERROR(Rohdaten!C306*100/Rohdaten!R306,"–")</f>
        <v>125</v>
      </c>
      <c r="O306" s="8" t="n">
        <f aca="false">IFERROR(Rohdaten!C306*100/Rohdaten!S306,"–")</f>
        <v>1250</v>
      </c>
      <c r="P306" s="9" t="n">
        <f aca="false">IFERROR(Rohdaten!C306*100/Rohdaten!T306,"–")</f>
        <v>27.7777777777778</v>
      </c>
      <c r="Q306" s="9" t="n">
        <f aca="false">IFERROR(Rohdaten!C306*100/Rohdaten!U306,"–")</f>
        <v>125</v>
      </c>
      <c r="R306" s="8" t="n">
        <f aca="false">IFERROR(Rohdaten!C306*100/Rohdaten!V306,"–")</f>
        <v>5.95238095238095</v>
      </c>
      <c r="S306" s="8" t="n">
        <f aca="false">IFERROR(Rohdaten!C306*100/Rohdaten!W306,"–")</f>
        <v>833.333333333333</v>
      </c>
      <c r="T306" s="8" t="n">
        <f aca="false">IFERROR(Rohdaten!C306*100/Rohdaten!X306,"–")</f>
        <v>5.55555555555556</v>
      </c>
      <c r="U306" s="8" t="n">
        <f aca="false">IFERROR(Rohdaten!C306*100/Rohdaten!Y306,"–")</f>
        <v>500</v>
      </c>
      <c r="V306" s="8" t="n">
        <f aca="false">IFERROR(Rohdaten!C306*100/Rohdaten!Z306,"–")</f>
        <v>0.714285714285714</v>
      </c>
    </row>
    <row r="307" customFormat="false" ht="15" hidden="false" customHeight="true" outlineLevel="0" collapsed="false">
      <c r="A307" s="4" t="str">
        <f aca="false">Rohdaten!A307</f>
        <v>Seezunge</v>
      </c>
      <c r="B307" s="8" t="n">
        <f aca="false">Rohdaten!C307</f>
        <v>3</v>
      </c>
      <c r="C307" s="8" t="n">
        <f aca="false">IFERROR(Rohdaten!C307*100/Rohdaten!G307,"–")</f>
        <v>3.48837209302326</v>
      </c>
      <c r="D307" s="8" t="n">
        <f aca="false">IFERROR(Rohdaten!C307*100/(Rohdaten!H307*9),"–")</f>
        <v>27.7777777777778</v>
      </c>
      <c r="E307" s="8" t="n">
        <f aca="false">IFERROR(Rohdaten!C307*100/(Rohdaten!I307*4),"–")</f>
        <v>4.41176470588235</v>
      </c>
      <c r="F307" s="8" t="str">
        <f aca="false">IFERROR(Rohdaten!C307*100/(Rohdaten!J307*4),"–")</f>
        <v>–</v>
      </c>
      <c r="G307" s="9" t="n">
        <f aca="false">IFERROR(Rohdaten!C307*100/Rohdaten!K307,"–")</f>
        <v>14.2857142857143</v>
      </c>
      <c r="H307" s="8" t="str">
        <f aca="false">IFERROR(Rohdaten!C307*100/Rohdaten!L307,"–")</f>
        <v>–</v>
      </c>
      <c r="I307" s="9" t="n">
        <f aca="false">IFERROR(Rohdaten!C307*100/Rohdaten!M307,"–")</f>
        <v>150</v>
      </c>
      <c r="J307" s="8" t="n">
        <f aca="false">IFERROR(Rohdaten!C307*100/Rohdaten!N307,"–")</f>
        <v>600</v>
      </c>
      <c r="K307" s="9" t="n">
        <f aca="false">IFERROR(Rohdaten!C307*100/Rohdaten!O307,"–")</f>
        <v>3000</v>
      </c>
      <c r="L307" s="8" t="n">
        <f aca="false">IFERROR(Rohdaten!C307*100/Rohdaten!P307,"–")</f>
        <v>5000</v>
      </c>
      <c r="M307" s="8" t="n">
        <f aca="false">IFERROR(Rohdaten!C307*100/Rohdaten!Q307,"–")</f>
        <v>3750</v>
      </c>
      <c r="N307" s="8" t="n">
        <f aca="false">IFERROR(Rohdaten!C307*100/Rohdaten!R307,"–")</f>
        <v>150</v>
      </c>
      <c r="O307" s="8" t="n">
        <f aca="false">IFERROR(Rohdaten!C307*100/Rohdaten!S307,"–")</f>
        <v>2000</v>
      </c>
      <c r="P307" s="9" t="n">
        <f aca="false">IFERROR(Rohdaten!C307*100/Rohdaten!T307,"–")</f>
        <v>30</v>
      </c>
      <c r="Q307" s="9" t="n">
        <f aca="false">IFERROR(Rohdaten!C307*100/Rohdaten!U307,"–")</f>
        <v>200</v>
      </c>
      <c r="R307" s="8" t="n">
        <f aca="false">IFERROR(Rohdaten!C307*100/Rohdaten!V307,"–")</f>
        <v>15</v>
      </c>
      <c r="S307" s="8" t="n">
        <f aca="false">IFERROR(Rohdaten!C307*100/Rohdaten!W307,"–")</f>
        <v>1000</v>
      </c>
      <c r="T307" s="8" t="n">
        <f aca="false">IFERROR(Rohdaten!C307*100/Rohdaten!X307,"–")</f>
        <v>10</v>
      </c>
      <c r="U307" s="8" t="n">
        <f aca="false">IFERROR(Rohdaten!C307*100/Rohdaten!Y307,"–")</f>
        <v>750</v>
      </c>
      <c r="V307" s="8" t="n">
        <f aca="false">IFERROR(Rohdaten!C307*100/Rohdaten!Z307,"–")</f>
        <v>0.882352941176471</v>
      </c>
    </row>
    <row r="308" customFormat="false" ht="15" hidden="false" customHeight="true" outlineLevel="0" collapsed="false">
      <c r="A308" s="4" t="str">
        <f aca="false">Rohdaten!A308</f>
        <v>Zander</v>
      </c>
      <c r="B308" s="8" t="n">
        <f aca="false">Rohdaten!C308</f>
        <v>2</v>
      </c>
      <c r="C308" s="8" t="n">
        <f aca="false">IFERROR(Rohdaten!C308*100/Rohdaten!G308,"–")</f>
        <v>2.38095238095238</v>
      </c>
      <c r="D308" s="8" t="n">
        <f aca="false">IFERROR(Rohdaten!C308*100/(Rohdaten!H308*9),"–")</f>
        <v>22.2222222222222</v>
      </c>
      <c r="E308" s="8" t="n">
        <f aca="false">IFERROR(Rohdaten!C308*100/(Rohdaten!I308*4),"–")</f>
        <v>2.77777777777778</v>
      </c>
      <c r="F308" s="8" t="str">
        <f aca="false">IFERROR(Rohdaten!C308*100/(Rohdaten!J308*4),"–")</f>
        <v>–</v>
      </c>
      <c r="G308" s="9" t="n">
        <f aca="false">IFERROR(Rohdaten!C308*100/Rohdaten!K308,"–")</f>
        <v>13.3333333333333</v>
      </c>
      <c r="H308" s="8" t="str">
        <f aca="false">IFERROR(Rohdaten!C308*100/Rohdaten!L308,"–")</f>
        <v>–</v>
      </c>
      <c r="I308" s="9" t="n">
        <f aca="false">IFERROR(Rohdaten!C308*100/Rohdaten!M308,"–")</f>
        <v>66.6666666666667</v>
      </c>
      <c r="J308" s="8" t="n">
        <f aca="false">IFERROR(Rohdaten!C308*100/Rohdaten!N308,"–")</f>
        <v>400</v>
      </c>
      <c r="K308" s="9" t="n">
        <f aca="false">IFERROR(Rohdaten!C308*100/Rohdaten!O308,"–")</f>
        <v>2000</v>
      </c>
      <c r="L308" s="8" t="n">
        <f aca="false">IFERROR(Rohdaten!C308*100/Rohdaten!P308,"–")</f>
        <v>4000</v>
      </c>
      <c r="M308" s="8" t="n">
        <f aca="false">IFERROR(Rohdaten!C308*100/Rohdaten!Q308,"–")</f>
        <v>2000</v>
      </c>
      <c r="N308" s="8" t="n">
        <f aca="false">IFERROR(Rohdaten!C308*100/Rohdaten!R308,"–")</f>
        <v>86.9565217391304</v>
      </c>
      <c r="O308" s="8" t="n">
        <f aca="false">IFERROR(Rohdaten!C308*100/Rohdaten!S308,"–")</f>
        <v>800</v>
      </c>
      <c r="P308" s="9" t="n">
        <f aca="false">IFERROR(Rohdaten!C308*100/Rohdaten!T308,"–")</f>
        <v>20</v>
      </c>
      <c r="Q308" s="9" t="n">
        <f aca="false">IFERROR(Rohdaten!C308*100/Rohdaten!U308,"–")</f>
        <v>100</v>
      </c>
      <c r="R308" s="8" t="n">
        <f aca="false">IFERROR(Rohdaten!C308*100/Rohdaten!V308,"–")</f>
        <v>13.3333333333333</v>
      </c>
      <c r="S308" s="8" t="n">
        <f aca="false">IFERROR(Rohdaten!C308*100/Rohdaten!W308,"–")</f>
        <v>400</v>
      </c>
      <c r="T308" s="8" t="n">
        <f aca="false">IFERROR(Rohdaten!C308*100/Rohdaten!X308,"–")</f>
        <v>6.66666666666667</v>
      </c>
      <c r="U308" s="8" t="n">
        <f aca="false">IFERROR(Rohdaten!C308*100/Rohdaten!Y308,"–")</f>
        <v>333.333333333333</v>
      </c>
      <c r="V308" s="8" t="n">
        <f aca="false">IFERROR(Rohdaten!C308*100/Rohdaten!Z308,"–")</f>
        <v>0.571428571428571</v>
      </c>
    </row>
    <row r="309" customFormat="false" ht="15" hidden="false" customHeight="true" outlineLevel="0" collapsed="false">
      <c r="A309" s="4" t="str">
        <f aca="false">Rohdaten!A309</f>
        <v>Barsch (Flussbarsch)</v>
      </c>
      <c r="B309" s="8" t="n">
        <f aca="false">Rohdaten!C309</f>
        <v>2</v>
      </c>
      <c r="C309" s="8" t="n">
        <f aca="false">IFERROR(Rohdaten!C309*100/Rohdaten!G309,"–")</f>
        <v>2.1978021978022</v>
      </c>
      <c r="D309" s="8" t="n">
        <f aca="false">IFERROR(Rohdaten!C309*100/(Rohdaten!H309*9),"–")</f>
        <v>22.2222222222222</v>
      </c>
      <c r="E309" s="8" t="n">
        <f aca="false">IFERROR(Rohdaten!C309*100/(Rohdaten!I309*4),"–")</f>
        <v>2.63157894736842</v>
      </c>
      <c r="F309" s="8" t="str">
        <f aca="false">IFERROR(Rohdaten!C309*100/(Rohdaten!J309*4),"–")</f>
        <v>–</v>
      </c>
      <c r="G309" s="9" t="n">
        <f aca="false">IFERROR(Rohdaten!C309*100/Rohdaten!K309,"–")</f>
        <v>13.3333333333333</v>
      </c>
      <c r="H309" s="8" t="str">
        <f aca="false">IFERROR(Rohdaten!C309*100/Rohdaten!L309,"–")</f>
        <v>–</v>
      </c>
      <c r="I309" s="9" t="n">
        <f aca="false">IFERROR(Rohdaten!C309*100/Rohdaten!M309,"–")</f>
        <v>66.6666666666667</v>
      </c>
      <c r="J309" s="8" t="n">
        <f aca="false">IFERROR(Rohdaten!C309*100/Rohdaten!N309,"–")</f>
        <v>400</v>
      </c>
      <c r="K309" s="9" t="n">
        <f aca="false">IFERROR(Rohdaten!C309*100/Rohdaten!O309,"–")</f>
        <v>2000</v>
      </c>
      <c r="L309" s="8" t="n">
        <f aca="false">IFERROR(Rohdaten!C309*100/Rohdaten!P309,"–")</f>
        <v>4000</v>
      </c>
      <c r="M309" s="8" t="n">
        <f aca="false">IFERROR(Rohdaten!C309*100/Rohdaten!Q309,"–")</f>
        <v>2000</v>
      </c>
      <c r="N309" s="8" t="n">
        <f aca="false">IFERROR(Rohdaten!C309*100/Rohdaten!R309,"–")</f>
        <v>86.9565217391304</v>
      </c>
      <c r="O309" s="8" t="n">
        <f aca="false">IFERROR(Rohdaten!C309*100/Rohdaten!S309,"–")</f>
        <v>800</v>
      </c>
      <c r="P309" s="9" t="n">
        <f aca="false">IFERROR(Rohdaten!C309*100/Rohdaten!T309,"–")</f>
        <v>20</v>
      </c>
      <c r="Q309" s="9" t="n">
        <f aca="false">IFERROR(Rohdaten!C309*100/Rohdaten!U309,"–")</f>
        <v>100</v>
      </c>
      <c r="R309" s="8" t="n">
        <f aca="false">IFERROR(Rohdaten!C309*100/Rohdaten!V309,"–")</f>
        <v>13.3333333333333</v>
      </c>
      <c r="S309" s="8" t="n">
        <f aca="false">IFERROR(Rohdaten!C309*100/Rohdaten!W309,"–")</f>
        <v>285.714285714286</v>
      </c>
      <c r="T309" s="8" t="n">
        <f aca="false">IFERROR(Rohdaten!C309*100/Rohdaten!X309,"–")</f>
        <v>6.66666666666667</v>
      </c>
      <c r="U309" s="8" t="n">
        <f aca="false">IFERROR(Rohdaten!C309*100/Rohdaten!Y309,"–")</f>
        <v>285.714285714286</v>
      </c>
      <c r="V309" s="8" t="n">
        <f aca="false">IFERROR(Rohdaten!C309*100/Rohdaten!Z309,"–")</f>
        <v>0.571428571428571</v>
      </c>
    </row>
    <row r="310" customFormat="false" ht="15" hidden="false" customHeight="true" outlineLevel="0" collapsed="false">
      <c r="A310" s="4" t="str">
        <f aca="false">Rohdaten!A310</f>
        <v>Thunfisch, frisch</v>
      </c>
      <c r="B310" s="8" t="n">
        <f aca="false">Rohdaten!C310</f>
        <v>3.5</v>
      </c>
      <c r="C310" s="8" t="n">
        <f aca="false">IFERROR(Rohdaten!C310*100/Rohdaten!G310,"–")</f>
        <v>2.43055555555556</v>
      </c>
      <c r="D310" s="8" t="n">
        <f aca="false">IFERROR(Rohdaten!C310*100/(Rohdaten!H310*9),"–")</f>
        <v>7.77777777777778</v>
      </c>
      <c r="E310" s="8" t="n">
        <f aca="false">IFERROR(Rohdaten!C310*100/(Rohdaten!I310*4),"–")</f>
        <v>3.80434782608696</v>
      </c>
      <c r="F310" s="8" t="str">
        <f aca="false">IFERROR(Rohdaten!C310*100/(Rohdaten!J310*4),"–")</f>
        <v>–</v>
      </c>
      <c r="G310" s="9" t="n">
        <f aca="false">IFERROR(Rohdaten!C310*100/Rohdaten!K310,"–")</f>
        <v>17.5</v>
      </c>
      <c r="H310" s="8" t="str">
        <f aca="false">IFERROR(Rohdaten!C310*100/Rohdaten!L310,"–")</f>
        <v>–</v>
      </c>
      <c r="I310" s="9" t="n">
        <f aca="false">IFERROR(Rohdaten!C310*100/Rohdaten!M310,"–")</f>
        <v>152.173913043478</v>
      </c>
      <c r="J310" s="8" t="n">
        <f aca="false">IFERROR(Rohdaten!C310*100/Rohdaten!N310,"–")</f>
        <v>350</v>
      </c>
      <c r="K310" s="9" t="n">
        <f aca="false">IFERROR(Rohdaten!C310*100/Rohdaten!O310,"–")</f>
        <v>3500</v>
      </c>
      <c r="L310" s="8" t="n">
        <f aca="false">IFERROR(Rohdaten!C310*100/Rohdaten!P310,"–")</f>
        <v>1458.33333333333</v>
      </c>
      <c r="M310" s="8" t="n">
        <f aca="false">IFERROR(Rohdaten!C310*100/Rohdaten!Q310,"–")</f>
        <v>1400</v>
      </c>
      <c r="N310" s="8" t="n">
        <f aca="false">IFERROR(Rohdaten!C310*100/Rohdaten!R310,"–")</f>
        <v>18.6170212765957</v>
      </c>
      <c r="O310" s="8" t="n">
        <f aca="false">IFERROR(Rohdaten!C310*100/Rohdaten!S310,"–")</f>
        <v>388.888888888889</v>
      </c>
      <c r="P310" s="9" t="n">
        <f aca="false">IFERROR(Rohdaten!C310*100/Rohdaten!T310,"–")</f>
        <v>175</v>
      </c>
      <c r="Q310" s="9" t="n">
        <f aca="false">IFERROR(Rohdaten!C310*100/Rohdaten!U310,"–")</f>
        <v>159.090909090909</v>
      </c>
      <c r="R310" s="8" t="n">
        <f aca="false">IFERROR(Rohdaten!C310*100/Rohdaten!V310,"–")</f>
        <v>43.75</v>
      </c>
      <c r="S310" s="8" t="n">
        <f aca="false">IFERROR(Rohdaten!C310*100/Rohdaten!W310,"–")</f>
        <v>350</v>
      </c>
      <c r="T310" s="8" t="n">
        <f aca="false">IFERROR(Rohdaten!C310*100/Rohdaten!X310,"–")</f>
        <v>7</v>
      </c>
      <c r="U310" s="8" t="n">
        <f aca="false">IFERROR(Rohdaten!C310*100/Rohdaten!Y310,"–")</f>
        <v>583.333333333333</v>
      </c>
      <c r="V310" s="8" t="n">
        <f aca="false">IFERROR(Rohdaten!C310*100/Rohdaten!Z310,"–")</f>
        <v>0.793650793650794</v>
      </c>
    </row>
    <row r="311" customFormat="false" ht="15" hidden="false" customHeight="true" outlineLevel="0" collapsed="false">
      <c r="A311" s="4" t="str">
        <f aca="false">Rohdaten!A311</f>
        <v>Thunfisch, Dose (Öl)</v>
      </c>
      <c r="B311" s="8" t="n">
        <f aca="false">Rohdaten!C311</f>
        <v>2.5</v>
      </c>
      <c r="C311" s="8" t="n">
        <f aca="false">IFERROR(Rohdaten!C311*100/Rohdaten!G311,"–")</f>
        <v>1.32275132275132</v>
      </c>
      <c r="D311" s="8" t="n">
        <f aca="false">IFERROR(Rohdaten!C311*100/(Rohdaten!H311*9),"–")</f>
        <v>3.38753387533875</v>
      </c>
      <c r="E311" s="8" t="n">
        <f aca="false">IFERROR(Rohdaten!C311*100/(Rohdaten!I311*4),"–")</f>
        <v>2.5</v>
      </c>
      <c r="F311" s="8" t="str">
        <f aca="false">IFERROR(Rohdaten!C311*100/(Rohdaten!J311*4),"–")</f>
        <v>–</v>
      </c>
      <c r="G311" s="9" t="n">
        <f aca="false">IFERROR(Rohdaten!C311*100/Rohdaten!K311,"–")</f>
        <v>16.6666666666667</v>
      </c>
      <c r="H311" s="8" t="str">
        <f aca="false">IFERROR(Rohdaten!C311*100/Rohdaten!L311,"–")</f>
        <v>–</v>
      </c>
      <c r="I311" s="9" t="n">
        <f aca="false">IFERROR(Rohdaten!C311*100/Rohdaten!M311,"–")</f>
        <v>147.058823529412</v>
      </c>
      <c r="J311" s="8" t="n">
        <f aca="false">IFERROR(Rohdaten!C311*100/Rohdaten!N311,"–")</f>
        <v>166.666666666667</v>
      </c>
      <c r="K311" s="9" t="n">
        <f aca="false">IFERROR(Rohdaten!C311*100/Rohdaten!O311,"–")</f>
        <v>2500</v>
      </c>
      <c r="L311" s="8" t="n">
        <f aca="false">IFERROR(Rohdaten!C311*100/Rohdaten!P311,"–")</f>
        <v>12500</v>
      </c>
      <c r="M311" s="8" t="n">
        <f aca="false">IFERROR(Rohdaten!C311*100/Rohdaten!Q311,"–")</f>
        <v>2500</v>
      </c>
      <c r="N311" s="8" t="n">
        <f aca="false">IFERROR(Rohdaten!C311*100/Rohdaten!R311,"–")</f>
        <v>25</v>
      </c>
      <c r="O311" s="8" t="n">
        <f aca="false">IFERROR(Rohdaten!C311*100/Rohdaten!S311,"–")</f>
        <v>833.333333333333</v>
      </c>
      <c r="P311" s="9" t="n">
        <f aca="false">IFERROR(Rohdaten!C311*100/Rohdaten!T311,"–")</f>
        <v>83.3333333333333</v>
      </c>
      <c r="Q311" s="9" t="n">
        <f aca="false">IFERROR(Rohdaten!C311*100/Rohdaten!U311,"–")</f>
        <v>113.636363636364</v>
      </c>
      <c r="R311" s="8" t="n">
        <f aca="false">IFERROR(Rohdaten!C311*100/Rohdaten!V311,"–")</f>
        <v>25</v>
      </c>
      <c r="S311" s="8" t="n">
        <f aca="false">IFERROR(Rohdaten!C311*100/Rohdaten!W311,"–")</f>
        <v>250</v>
      </c>
      <c r="T311" s="8" t="n">
        <f aca="false">IFERROR(Rohdaten!C311*100/Rohdaten!X311,"–")</f>
        <v>8.33333333333333</v>
      </c>
      <c r="U311" s="8" t="n">
        <f aca="false">IFERROR(Rohdaten!C311*100/Rohdaten!Y311,"–")</f>
        <v>416.666666666667</v>
      </c>
      <c r="V311" s="8" t="n">
        <f aca="false">IFERROR(Rohdaten!C311*100/Rohdaten!Z311,"–")</f>
        <v>1</v>
      </c>
    </row>
    <row r="312" customFormat="false" ht="15" hidden="false" customHeight="true" outlineLevel="0" collapsed="false">
      <c r="A312" s="4" t="str">
        <f aca="false">Rohdaten!A312</f>
        <v>Schwertfisch</v>
      </c>
      <c r="B312" s="8" t="n">
        <f aca="false">Rohdaten!C312</f>
        <v>3.5</v>
      </c>
      <c r="C312" s="8" t="n">
        <f aca="false">IFERROR(Rohdaten!C312*100/Rohdaten!G312,"–")</f>
        <v>2.89256198347107</v>
      </c>
      <c r="D312" s="8" t="n">
        <f aca="false">IFERROR(Rohdaten!C312*100/(Rohdaten!H312*9),"–")</f>
        <v>9.72222222222222</v>
      </c>
      <c r="E312" s="8" t="n">
        <f aca="false">IFERROR(Rohdaten!C312*100/(Rohdaten!I312*4),"–")</f>
        <v>4.375</v>
      </c>
      <c r="F312" s="8" t="str">
        <f aca="false">IFERROR(Rohdaten!C312*100/(Rohdaten!J312*4),"–")</f>
        <v>–</v>
      </c>
      <c r="G312" s="9" t="n">
        <f aca="false">IFERROR(Rohdaten!C312*100/Rohdaten!K312,"–")</f>
        <v>14</v>
      </c>
      <c r="H312" s="8" t="str">
        <f aca="false">IFERROR(Rohdaten!C312*100/Rohdaten!L312,"–")</f>
        <v>–</v>
      </c>
      <c r="I312" s="9" t="n">
        <f aca="false">IFERROR(Rohdaten!C312*100/Rohdaten!M312,"–")</f>
        <v>46.0526315789474</v>
      </c>
      <c r="J312" s="8" t="n">
        <f aca="false">IFERROR(Rohdaten!C312*100/Rohdaten!N312,"–")</f>
        <v>500</v>
      </c>
      <c r="K312" s="9" t="n">
        <f aca="false">IFERROR(Rohdaten!C312*100/Rohdaten!O312,"–")</f>
        <v>3500</v>
      </c>
      <c r="L312" s="8" t="n">
        <f aca="false">IFERROR(Rohdaten!C312*100/Rohdaten!P312,"–")</f>
        <v>8750</v>
      </c>
      <c r="M312" s="8" t="n">
        <f aca="false">IFERROR(Rohdaten!C312*100/Rohdaten!Q312,"–")</f>
        <v>4375</v>
      </c>
      <c r="N312" s="8" t="n">
        <f aca="false">IFERROR(Rohdaten!C312*100/Rohdaten!R312,"–")</f>
        <v>35</v>
      </c>
      <c r="O312" s="8" t="n">
        <f aca="false">IFERROR(Rohdaten!C312*100/Rohdaten!S312,"–")</f>
        <v>875</v>
      </c>
      <c r="P312" s="9" t="n">
        <f aca="false">IFERROR(Rohdaten!C312*100/Rohdaten!T312,"–")</f>
        <v>175</v>
      </c>
      <c r="Q312" s="9" t="n">
        <f aca="false">IFERROR(Rohdaten!C312*100/Rohdaten!U312,"–")</f>
        <v>205.882352941176</v>
      </c>
      <c r="R312" s="8" t="n">
        <f aca="false">IFERROR(Rohdaten!C312*100/Rohdaten!V312,"–")</f>
        <v>70</v>
      </c>
      <c r="S312" s="8" t="n">
        <f aca="false">IFERROR(Rohdaten!C312*100/Rohdaten!W312,"–")</f>
        <v>437.5</v>
      </c>
      <c r="T312" s="8" t="n">
        <f aca="false">IFERROR(Rohdaten!C312*100/Rohdaten!X312,"–")</f>
        <v>12.5</v>
      </c>
      <c r="U312" s="8" t="n">
        <f aca="false">IFERROR(Rohdaten!C312*100/Rohdaten!Y312,"–")</f>
        <v>500</v>
      </c>
      <c r="V312" s="8" t="n">
        <f aca="false">IFERROR(Rohdaten!C312*100/Rohdaten!Z312,"–")</f>
        <v>0.921052631578947</v>
      </c>
    </row>
    <row r="313" customFormat="false" ht="15" hidden="false" customHeight="true" outlineLevel="0" collapsed="false">
      <c r="A313" s="4" t="str">
        <f aca="false">Rohdaten!A313</f>
        <v>Rotbarsch</v>
      </c>
      <c r="B313" s="8" t="n">
        <f aca="false">Rohdaten!C313</f>
        <v>2.5</v>
      </c>
      <c r="C313" s="8" t="n">
        <f aca="false">IFERROR(Rohdaten!C313*100/Rohdaten!G313,"–")</f>
        <v>2.63157894736842</v>
      </c>
      <c r="D313" s="8" t="n">
        <f aca="false">IFERROR(Rohdaten!C313*100/(Rohdaten!H313*9),"–")</f>
        <v>21.3675213675214</v>
      </c>
      <c r="E313" s="8" t="n">
        <f aca="false">IFERROR(Rohdaten!C313*100/(Rohdaten!I313*4),"–")</f>
        <v>3.47222222222222</v>
      </c>
      <c r="F313" s="8" t="str">
        <f aca="false">IFERROR(Rohdaten!C313*100/(Rohdaten!J313*4),"–")</f>
        <v>–</v>
      </c>
      <c r="G313" s="9" t="n">
        <f aca="false">IFERROR(Rohdaten!C313*100/Rohdaten!K313,"–")</f>
        <v>10</v>
      </c>
      <c r="H313" s="8" t="str">
        <f aca="false">IFERROR(Rohdaten!C313*100/Rohdaten!L313,"–")</f>
        <v>–</v>
      </c>
      <c r="I313" s="9" t="n">
        <f aca="false">IFERROR(Rohdaten!C313*100/Rohdaten!M313,"–")</f>
        <v>125</v>
      </c>
      <c r="J313" s="8" t="n">
        <f aca="false">IFERROR(Rohdaten!C313*100/Rohdaten!N313,"–")</f>
        <v>416.666666666667</v>
      </c>
      <c r="K313" s="9" t="n">
        <f aca="false">IFERROR(Rohdaten!C313*100/Rohdaten!O313,"–")</f>
        <v>2500</v>
      </c>
      <c r="L313" s="8" t="n">
        <f aca="false">IFERROR(Rohdaten!C313*100/Rohdaten!P313,"–")</f>
        <v>3571.42857142857</v>
      </c>
      <c r="M313" s="8" t="n">
        <f aca="false">IFERROR(Rohdaten!C313*100/Rohdaten!Q313,"–")</f>
        <v>2500</v>
      </c>
      <c r="N313" s="8" t="n">
        <f aca="false">IFERROR(Rohdaten!C313*100/Rohdaten!R313,"–")</f>
        <v>83.3333333333333</v>
      </c>
      <c r="O313" s="8" t="n">
        <f aca="false">IFERROR(Rohdaten!C313*100/Rohdaten!S313,"–")</f>
        <v>833.333333333333</v>
      </c>
      <c r="P313" s="9" t="n">
        <f aca="false">IFERROR(Rohdaten!C313*100/Rohdaten!T313,"–")</f>
        <v>25</v>
      </c>
      <c r="Q313" s="9" t="n">
        <f aca="false">IFERROR(Rohdaten!C313*100/Rohdaten!U313,"–")</f>
        <v>250</v>
      </c>
      <c r="R313" s="8" t="n">
        <f aca="false">IFERROR(Rohdaten!C313*100/Rohdaten!V313,"–")</f>
        <v>20.8333333333333</v>
      </c>
      <c r="S313" s="8" t="n">
        <f aca="false">IFERROR(Rohdaten!C313*100/Rohdaten!W313,"–")</f>
        <v>833.333333333333</v>
      </c>
      <c r="T313" s="8" t="n">
        <f aca="false">IFERROR(Rohdaten!C313*100/Rohdaten!X313,"–")</f>
        <v>8.33333333333333</v>
      </c>
      <c r="U313" s="8" t="n">
        <f aca="false">IFERROR(Rohdaten!C313*100/Rohdaten!Y313,"–")</f>
        <v>625</v>
      </c>
      <c r="V313" s="8" t="n">
        <f aca="false">IFERROR(Rohdaten!C313*100/Rohdaten!Z313,"–")</f>
        <v>0.714285714285714</v>
      </c>
    </row>
    <row r="314" customFormat="false" ht="15" hidden="false" customHeight="true" outlineLevel="0" collapsed="false">
      <c r="A314" s="4" t="str">
        <f aca="false">Rohdaten!A314</f>
        <v>Wels/Pangasius (Zucht)</v>
      </c>
      <c r="B314" s="8" t="n">
        <f aca="false">Rohdaten!C314</f>
        <v>4.5</v>
      </c>
      <c r="C314" s="8" t="n">
        <f aca="false">IFERROR(Rohdaten!C314*100/Rohdaten!G314,"–")</f>
        <v>4.89130434782609</v>
      </c>
      <c r="D314" s="8" t="n">
        <f aca="false">IFERROR(Rohdaten!C314*100/(Rohdaten!H314*9),"–")</f>
        <v>16.6666666666667</v>
      </c>
      <c r="E314" s="8" t="n">
        <f aca="false">IFERROR(Rohdaten!C314*100/(Rohdaten!I314*4),"–")</f>
        <v>7.5</v>
      </c>
      <c r="F314" s="8" t="str">
        <f aca="false">IFERROR(Rohdaten!C314*100/(Rohdaten!J314*4),"–")</f>
        <v>–</v>
      </c>
      <c r="G314" s="9" t="n">
        <f aca="false">IFERROR(Rohdaten!C314*100/Rohdaten!K314,"–")</f>
        <v>45</v>
      </c>
      <c r="H314" s="8" t="str">
        <f aca="false">IFERROR(Rohdaten!C314*100/Rohdaten!L314,"–")</f>
        <v>–</v>
      </c>
      <c r="I314" s="9" t="n">
        <f aca="false">IFERROR(Rohdaten!C314*100/Rohdaten!M314,"–")</f>
        <v>90</v>
      </c>
      <c r="J314" s="8" t="n">
        <f aca="false">IFERROR(Rohdaten!C314*100/Rohdaten!N314,"–")</f>
        <v>900</v>
      </c>
      <c r="K314" s="9" t="n">
        <f aca="false">IFERROR(Rohdaten!C314*100/Rohdaten!O314,"–")</f>
        <v>4500</v>
      </c>
      <c r="L314" s="8" t="n">
        <f aca="false">IFERROR(Rohdaten!C314*100/Rohdaten!P314,"–")</f>
        <v>9000</v>
      </c>
      <c r="M314" s="8" t="n">
        <f aca="false">IFERROR(Rohdaten!C314*100/Rohdaten!Q314,"–")</f>
        <v>5625</v>
      </c>
      <c r="N314" s="8" t="n">
        <f aca="false">IFERROR(Rohdaten!C314*100/Rohdaten!R314,"–")</f>
        <v>180</v>
      </c>
      <c r="O314" s="8" t="n">
        <f aca="false">IFERROR(Rohdaten!C314*100/Rohdaten!S314,"–")</f>
        <v>2250</v>
      </c>
      <c r="P314" s="9" t="n">
        <f aca="false">IFERROR(Rohdaten!C314*100/Rohdaten!T314,"–")</f>
        <v>90</v>
      </c>
      <c r="Q314" s="9" t="n">
        <f aca="false">IFERROR(Rohdaten!C314*100/Rohdaten!U314,"–")</f>
        <v>450</v>
      </c>
      <c r="R314" s="8" t="n">
        <f aca="false">IFERROR(Rohdaten!C314*100/Rohdaten!V314,"–")</f>
        <v>45</v>
      </c>
      <c r="S314" s="8" t="n">
        <f aca="false">IFERROR(Rohdaten!C314*100/Rohdaten!W314,"–")</f>
        <v>1500</v>
      </c>
      <c r="T314" s="8" t="n">
        <f aca="false">IFERROR(Rohdaten!C314*100/Rohdaten!X314,"–")</f>
        <v>22.5</v>
      </c>
      <c r="U314" s="8" t="n">
        <f aca="false">IFERROR(Rohdaten!C314*100/Rohdaten!Y314,"–")</f>
        <v>1125</v>
      </c>
      <c r="V314" s="8" t="n">
        <f aca="false">IFERROR(Rohdaten!C314*100/Rohdaten!Z314,"–")</f>
        <v>1.5</v>
      </c>
    </row>
    <row r="315" customFormat="false" ht="15" hidden="false" customHeight="true" outlineLevel="0" collapsed="false">
      <c r="A315" s="4" t="str">
        <f aca="false">Rohdaten!A315</f>
        <v>Aal</v>
      </c>
      <c r="B315" s="8" t="n">
        <f aca="false">Rohdaten!C315</f>
        <v>4</v>
      </c>
      <c r="C315" s="8" t="n">
        <f aca="false">IFERROR(Rohdaten!C315*100/Rohdaten!G315,"–")</f>
        <v>1.69491525423729</v>
      </c>
      <c r="D315" s="8" t="n">
        <f aca="false">IFERROR(Rohdaten!C315*100/(Rohdaten!H315*9),"–")</f>
        <v>2.46913580246914</v>
      </c>
      <c r="E315" s="8" t="n">
        <f aca="false">IFERROR(Rohdaten!C315*100/(Rohdaten!I315*4),"–")</f>
        <v>5.55555555555556</v>
      </c>
      <c r="F315" s="8" t="str">
        <f aca="false">IFERROR(Rohdaten!C315*100/(Rohdaten!J315*4),"–")</f>
        <v>–</v>
      </c>
      <c r="G315" s="9" t="n">
        <f aca="false">IFERROR(Rohdaten!C315*100/Rohdaten!K315,"–")</f>
        <v>0.408163265306122</v>
      </c>
      <c r="H315" s="8" t="n">
        <f aca="false">IFERROR(Rohdaten!C315*100/Rohdaten!L315,"–")</f>
        <v>133.333333333333</v>
      </c>
      <c r="I315" s="9" t="str">
        <f aca="false">IFERROR(Rohdaten!C315*100/Rohdaten!M315,"–")</f>
        <v>–</v>
      </c>
      <c r="J315" s="8" t="n">
        <f aca="false">IFERROR(Rohdaten!C315*100/Rohdaten!N315,"–")</f>
        <v>100</v>
      </c>
      <c r="K315" s="9" t="n">
        <f aca="false">IFERROR(Rohdaten!C315*100/Rohdaten!O315,"–")</f>
        <v>4000</v>
      </c>
      <c r="L315" s="8" t="n">
        <f aca="false">IFERROR(Rohdaten!C315*100/Rohdaten!P315,"–")</f>
        <v>2222.22222222222</v>
      </c>
      <c r="M315" s="8" t="n">
        <f aca="false">IFERROR(Rohdaten!C315*100/Rohdaten!Q315,"–")</f>
        <v>6666.66666666667</v>
      </c>
      <c r="N315" s="8" t="n">
        <f aca="false">IFERROR(Rohdaten!C315*100/Rohdaten!R315,"–")</f>
        <v>137.931034482759</v>
      </c>
      <c r="O315" s="8" t="n">
        <f aca="false">IFERROR(Rohdaten!C315*100/Rohdaten!S315,"–")</f>
        <v>5714.28571428571</v>
      </c>
      <c r="P315" s="9" t="n">
        <f aca="false">IFERROR(Rohdaten!C315*100/Rohdaten!T315,"–")</f>
        <v>26.6666666666667</v>
      </c>
      <c r="Q315" s="9" t="n">
        <f aca="false">IFERROR(Rohdaten!C315*100/Rohdaten!U315,"–")</f>
        <v>307.692307692308</v>
      </c>
      <c r="R315" s="8" t="n">
        <f aca="false">IFERROR(Rohdaten!C315*100/Rohdaten!V315,"–")</f>
        <v>20</v>
      </c>
      <c r="S315" s="8" t="n">
        <f aca="false">IFERROR(Rohdaten!C315*100/Rohdaten!W315,"–")</f>
        <v>800</v>
      </c>
      <c r="T315" s="8" t="n">
        <f aca="false">IFERROR(Rohdaten!C315*100/Rohdaten!X315,"–")</f>
        <v>20</v>
      </c>
      <c r="U315" s="8" t="n">
        <f aca="false">IFERROR(Rohdaten!C315*100/Rohdaten!Y315,"–")</f>
        <v>250</v>
      </c>
      <c r="V315" s="8" t="n">
        <f aca="false">IFERROR(Rohdaten!C315*100/Rohdaten!Z315,"–")</f>
        <v>1.48148148148148</v>
      </c>
    </row>
    <row r="316" customFormat="false" ht="15" hidden="false" customHeight="true" outlineLevel="0" collapsed="false">
      <c r="A316" s="4" t="str">
        <f aca="false">Rohdaten!A316</f>
        <v>Forelle (Zucht)</v>
      </c>
      <c r="B316" s="8" t="n">
        <f aca="false">Rohdaten!C316</f>
        <v>3</v>
      </c>
      <c r="C316" s="8" t="n">
        <f aca="false">IFERROR(Rohdaten!C316*100/Rohdaten!G316,"–")</f>
        <v>2.02702702702703</v>
      </c>
      <c r="D316" s="8" t="n">
        <f aca="false">IFERROR(Rohdaten!C316*100/(Rohdaten!H316*9),"–")</f>
        <v>6.17283950617284</v>
      </c>
      <c r="E316" s="8" t="n">
        <f aca="false">IFERROR(Rohdaten!C316*100/(Rohdaten!I316*4),"–")</f>
        <v>3.57142857142857</v>
      </c>
      <c r="F316" s="8" t="str">
        <f aca="false">IFERROR(Rohdaten!C316*100/(Rohdaten!J316*4),"–")</f>
        <v>–</v>
      </c>
      <c r="G316" s="9" t="n">
        <f aca="false">IFERROR(Rohdaten!C316*100/Rohdaten!K316,"–")</f>
        <v>20</v>
      </c>
      <c r="H316" s="8" t="str">
        <f aca="false">IFERROR(Rohdaten!C316*100/Rohdaten!L316,"–")</f>
        <v>–</v>
      </c>
      <c r="I316" s="9" t="n">
        <f aca="false">IFERROR(Rohdaten!C316*100/Rohdaten!M316,"–")</f>
        <v>27.2727272727273</v>
      </c>
      <c r="J316" s="8" t="n">
        <f aca="false">IFERROR(Rohdaten!C316*100/Rohdaten!N316,"–")</f>
        <v>200</v>
      </c>
      <c r="K316" s="9" t="n">
        <f aca="false">IFERROR(Rohdaten!C316*100/Rohdaten!O316,"–")</f>
        <v>3000</v>
      </c>
      <c r="L316" s="8" t="n">
        <f aca="false">IFERROR(Rohdaten!C316*100/Rohdaten!P316,"–")</f>
        <v>3000</v>
      </c>
      <c r="M316" s="8" t="n">
        <f aca="false">IFERROR(Rohdaten!C316*100/Rohdaten!Q316,"–")</f>
        <v>2307.69230769231</v>
      </c>
      <c r="N316" s="8" t="n">
        <f aca="false">IFERROR(Rohdaten!C316*100/Rohdaten!R316,"–")</f>
        <v>66.6666666666667</v>
      </c>
      <c r="O316" s="8" t="n">
        <f aca="false">IFERROR(Rohdaten!C316*100/Rohdaten!S316,"–")</f>
        <v>750</v>
      </c>
      <c r="P316" s="9" t="n">
        <f aca="false">IFERROR(Rohdaten!C316*100/Rohdaten!T316,"–")</f>
        <v>30</v>
      </c>
      <c r="Q316" s="9" t="n">
        <f aca="false">IFERROR(Rohdaten!C316*100/Rohdaten!U316,"–")</f>
        <v>66.6666666666667</v>
      </c>
      <c r="R316" s="8" t="n">
        <f aca="false">IFERROR(Rohdaten!C316*100/Rohdaten!V316,"–")</f>
        <v>4.61538461538462</v>
      </c>
      <c r="S316" s="8" t="n">
        <f aca="false">IFERROR(Rohdaten!C316*100/Rohdaten!W316,"–")</f>
        <v>1000</v>
      </c>
      <c r="T316" s="8" t="n">
        <f aca="false">IFERROR(Rohdaten!C316*100/Rohdaten!X316,"–")</f>
        <v>12</v>
      </c>
      <c r="U316" s="8" t="n">
        <f aca="false">IFERROR(Rohdaten!C316*100/Rohdaten!Y316,"–")</f>
        <v>428.571428571429</v>
      </c>
      <c r="V316" s="8" t="n">
        <f aca="false">IFERROR(Rohdaten!C316*100/Rohdaten!Z316,"–")</f>
        <v>0.789473684210526</v>
      </c>
    </row>
    <row r="317" customFormat="false" ht="15" hidden="false" customHeight="true" outlineLevel="0" collapsed="false">
      <c r="A317" s="4" t="str">
        <f aca="false">Rohdaten!A317</f>
        <v>Karpfen (Teichwirtschaft)</v>
      </c>
      <c r="B317" s="8" t="n">
        <f aca="false">Rohdaten!C317</f>
        <v>2</v>
      </c>
      <c r="C317" s="8" t="n">
        <f aca="false">IFERROR(Rohdaten!C317*100/Rohdaten!G317,"–")</f>
        <v>1.5748031496063</v>
      </c>
      <c r="D317" s="8" t="n">
        <f aca="false">IFERROR(Rohdaten!C317*100/(Rohdaten!H317*9),"–")</f>
        <v>3.96825396825397</v>
      </c>
      <c r="E317" s="8" t="n">
        <f aca="false">IFERROR(Rohdaten!C317*100/(Rohdaten!I317*4),"–")</f>
        <v>2.77777777777778</v>
      </c>
      <c r="F317" s="8" t="str">
        <f aca="false">IFERROR(Rohdaten!C317*100/(Rohdaten!J317*4),"–")</f>
        <v>–</v>
      </c>
      <c r="G317" s="9" t="n">
        <f aca="false">IFERROR(Rohdaten!C317*100/Rohdaten!K317,"–")</f>
        <v>10</v>
      </c>
      <c r="H317" s="8" t="str">
        <f aca="false">IFERROR(Rohdaten!C317*100/Rohdaten!L317,"–")</f>
        <v>–</v>
      </c>
      <c r="I317" s="9" t="n">
        <f aca="false">IFERROR(Rohdaten!C317*100/Rohdaten!M317,"–")</f>
        <v>13.3333333333333</v>
      </c>
      <c r="J317" s="8" t="n">
        <f aca="false">IFERROR(Rohdaten!C317*100/Rohdaten!N317,"–")</f>
        <v>200</v>
      </c>
      <c r="K317" s="9" t="n">
        <f aca="false">IFERROR(Rohdaten!C317*100/Rohdaten!O317,"–")</f>
        <v>2000</v>
      </c>
      <c r="L317" s="8" t="n">
        <f aca="false">IFERROR(Rohdaten!C317*100/Rohdaten!P317,"–")</f>
        <v>1000</v>
      </c>
      <c r="M317" s="8" t="n">
        <f aca="false">IFERROR(Rohdaten!C317*100/Rohdaten!Q317,"–")</f>
        <v>3333.33333333333</v>
      </c>
      <c r="N317" s="8" t="n">
        <f aca="false">IFERROR(Rohdaten!C317*100/Rohdaten!R317,"–")</f>
        <v>86.9565217391304</v>
      </c>
      <c r="O317" s="8" t="n">
        <f aca="false">IFERROR(Rohdaten!C317*100/Rohdaten!S317,"–")</f>
        <v>2000</v>
      </c>
      <c r="P317" s="9" t="n">
        <f aca="false">IFERROR(Rohdaten!C317*100/Rohdaten!T317,"–")</f>
        <v>13.3333333333333</v>
      </c>
      <c r="Q317" s="9" t="n">
        <f aca="false">IFERROR(Rohdaten!C317*100/Rohdaten!U317,"–")</f>
        <v>133.333333333333</v>
      </c>
      <c r="R317" s="8" t="n">
        <f aca="false">IFERROR(Rohdaten!C317*100/Rohdaten!V317,"–")</f>
        <v>5</v>
      </c>
      <c r="S317" s="8" t="n">
        <f aca="false">IFERROR(Rohdaten!C317*100/Rohdaten!W317,"–")</f>
        <v>166.666666666667</v>
      </c>
      <c r="T317" s="8" t="n">
        <f aca="false">IFERROR(Rohdaten!C317*100/Rohdaten!X317,"–")</f>
        <v>8</v>
      </c>
      <c r="U317" s="8" t="n">
        <f aca="false">IFERROR(Rohdaten!C317*100/Rohdaten!Y317,"–")</f>
        <v>133.333333333333</v>
      </c>
      <c r="V317" s="8" t="n">
        <f aca="false">IFERROR(Rohdaten!C317*100/Rohdaten!Z317,"–")</f>
        <v>0.606060606060606</v>
      </c>
    </row>
    <row r="318" customFormat="false" ht="15" hidden="false" customHeight="true" outlineLevel="0" collapsed="false">
      <c r="A318" s="4" t="str">
        <f aca="false">Rohdaten!A318</f>
        <v>Miesmuscheln</v>
      </c>
      <c r="B318" s="8" t="n">
        <f aca="false">Rohdaten!C318</f>
        <v>0.9</v>
      </c>
      <c r="C318" s="8" t="n">
        <f aca="false">IFERROR(Rohdaten!C318*100/Rohdaten!G318,"–")</f>
        <v>1.04651162790698</v>
      </c>
      <c r="D318" s="8" t="n">
        <f aca="false">IFERROR(Rohdaten!C318*100/(Rohdaten!H318*9),"–")</f>
        <v>4.54545454545455</v>
      </c>
      <c r="E318" s="8" t="n">
        <f aca="false">IFERROR(Rohdaten!C318*100/(Rohdaten!I318*4),"–")</f>
        <v>1.875</v>
      </c>
      <c r="F318" s="8" t="n">
        <f aca="false">IFERROR(Rohdaten!C318*100/(Rohdaten!J318*4),"–")</f>
        <v>6.08108108108108</v>
      </c>
      <c r="G318" s="9" t="n">
        <f aca="false">IFERROR(Rohdaten!C318*100/Rohdaten!K318,"–")</f>
        <v>3.75</v>
      </c>
      <c r="H318" s="8" t="n">
        <f aca="false">IFERROR(Rohdaten!C318*100/Rohdaten!L318,"–")</f>
        <v>22.5</v>
      </c>
      <c r="I318" s="9" t="str">
        <f aca="false">IFERROR(Rohdaten!C318*100/Rohdaten!M318,"–")</f>
        <v>–</v>
      </c>
      <c r="J318" s="8" t="n">
        <f aca="false">IFERROR(Rohdaten!C318*100/Rohdaten!N318,"–")</f>
        <v>150</v>
      </c>
      <c r="K318" s="9" t="n">
        <f aca="false">IFERROR(Rohdaten!C318*100/Rohdaten!O318,"–")</f>
        <v>900</v>
      </c>
      <c r="L318" s="8" t="n">
        <f aca="false">IFERROR(Rohdaten!C318*100/Rohdaten!P318,"–")</f>
        <v>562.5</v>
      </c>
      <c r="M318" s="8" t="n">
        <f aca="false">IFERROR(Rohdaten!C318*100/Rohdaten!Q318,"–")</f>
        <v>428.571428571429</v>
      </c>
      <c r="N318" s="8" t="n">
        <f aca="false">IFERROR(Rohdaten!C318*100/Rohdaten!R318,"–")</f>
        <v>56.25</v>
      </c>
      <c r="O318" s="8" t="n">
        <f aca="false">IFERROR(Rohdaten!C318*100/Rohdaten!S318,"–")</f>
        <v>1500</v>
      </c>
      <c r="P318" s="9" t="n">
        <f aca="false">IFERROR(Rohdaten!C318*100/Rohdaten!T318,"–")</f>
        <v>2.14285714285714</v>
      </c>
      <c r="Q318" s="9" t="n">
        <f aca="false">IFERROR(Rohdaten!C318*100/Rohdaten!U318,"–")</f>
        <v>7.5</v>
      </c>
      <c r="R318" s="8" t="n">
        <f aca="false">IFERROR(Rohdaten!C318*100/Rohdaten!V318,"–")</f>
        <v>3.46153846153846</v>
      </c>
      <c r="S318" s="8" t="n">
        <f aca="false">IFERROR(Rohdaten!C318*100/Rohdaten!W318,"–")</f>
        <v>22.5</v>
      </c>
      <c r="T318" s="8" t="n">
        <f aca="false">IFERROR(Rohdaten!C318*100/Rohdaten!X318,"–")</f>
        <v>2.8125</v>
      </c>
      <c r="U318" s="8" t="n">
        <f aca="false">IFERROR(Rohdaten!C318*100/Rohdaten!Y318,"–")</f>
        <v>56.25</v>
      </c>
      <c r="V318" s="8" t="n">
        <f aca="false">IFERROR(Rohdaten!C318*100/Rohdaten!Z318,"–")</f>
        <v>0.28125</v>
      </c>
    </row>
    <row r="319" customFormat="false" ht="15" hidden="false" customHeight="true" outlineLevel="0" collapsed="false">
      <c r="A319" s="4" t="str">
        <f aca="false">Rohdaten!A319</f>
        <v>Austern</v>
      </c>
      <c r="B319" s="8" t="n">
        <f aca="false">Rohdaten!C319</f>
        <v>0.9</v>
      </c>
      <c r="C319" s="8" t="n">
        <f aca="false">IFERROR(Rohdaten!C319*100/Rohdaten!G319,"–")</f>
        <v>1.32352941176471</v>
      </c>
      <c r="D319" s="8" t="n">
        <f aca="false">IFERROR(Rohdaten!C319*100/(Rohdaten!H319*9),"–")</f>
        <v>4</v>
      </c>
      <c r="E319" s="8" t="n">
        <f aca="false">IFERROR(Rohdaten!C319*100/(Rohdaten!I319*4),"–")</f>
        <v>3.16901408450704</v>
      </c>
      <c r="F319" s="8" t="n">
        <f aca="false">IFERROR(Rohdaten!C319*100/(Rohdaten!J319*4),"–")</f>
        <v>5.76923076923077</v>
      </c>
      <c r="G319" s="9" t="n">
        <f aca="false">IFERROR(Rohdaten!C319*100/Rohdaten!K319,"–")</f>
        <v>1</v>
      </c>
      <c r="H319" s="8" t="n">
        <f aca="false">IFERROR(Rohdaten!C319*100/Rohdaten!L319,"–")</f>
        <v>22.5</v>
      </c>
      <c r="I319" s="9" t="str">
        <f aca="false">IFERROR(Rohdaten!C319*100/Rohdaten!M319,"–")</f>
        <v>–</v>
      </c>
      <c r="J319" s="8" t="n">
        <f aca="false">IFERROR(Rohdaten!C319*100/Rohdaten!N319,"–")</f>
        <v>100</v>
      </c>
      <c r="K319" s="9" t="n">
        <f aca="false">IFERROR(Rohdaten!C319*100/Rohdaten!O319,"–")</f>
        <v>900</v>
      </c>
      <c r="L319" s="8" t="n">
        <f aca="false">IFERROR(Rohdaten!C319*100/Rohdaten!P319,"–")</f>
        <v>900</v>
      </c>
      <c r="M319" s="8" t="n">
        <f aca="false">IFERROR(Rohdaten!C319*100/Rohdaten!Q319,"–")</f>
        <v>600</v>
      </c>
      <c r="N319" s="8" t="n">
        <f aca="false">IFERROR(Rohdaten!C319*100/Rohdaten!R319,"–")</f>
        <v>64.2857142857143</v>
      </c>
      <c r="O319" s="8" t="n">
        <f aca="false">IFERROR(Rohdaten!C319*100/Rohdaten!S319,"–")</f>
        <v>1500</v>
      </c>
      <c r="P319" s="9" t="n">
        <f aca="false">IFERROR(Rohdaten!C319*100/Rohdaten!T319,"–")</f>
        <v>6</v>
      </c>
      <c r="Q319" s="9" t="n">
        <f aca="false">IFERROR(Rohdaten!C319*100/Rohdaten!U319,"–")</f>
        <v>5.625</v>
      </c>
      <c r="R319" s="8" t="n">
        <f aca="false">IFERROR(Rohdaten!C319*100/Rohdaten!V319,"–")</f>
        <v>2</v>
      </c>
      <c r="S319" s="8" t="n">
        <f aca="false">IFERROR(Rohdaten!C319*100/Rohdaten!W319,"–")</f>
        <v>17.6470588235294</v>
      </c>
      <c r="T319" s="8" t="n">
        <f aca="false">IFERROR(Rohdaten!C319*100/Rohdaten!X319,"–")</f>
        <v>1.91489361702128</v>
      </c>
      <c r="U319" s="8" t="n">
        <f aca="false">IFERROR(Rohdaten!C319*100/Rohdaten!Y319,"–")</f>
        <v>2</v>
      </c>
      <c r="V319" s="8" t="n">
        <f aca="false">IFERROR(Rohdaten!C319*100/Rohdaten!Z319,"–")</f>
        <v>0.535714285714286</v>
      </c>
    </row>
    <row r="320" customFormat="false" ht="15" hidden="false" customHeight="true" outlineLevel="0" collapsed="false">
      <c r="A320" s="4" t="str">
        <f aca="false">Rohdaten!A320</f>
        <v>Jakobsmuscheln</v>
      </c>
      <c r="B320" s="8" t="n">
        <f aca="false">Rohdaten!C320</f>
        <v>1</v>
      </c>
      <c r="C320" s="8" t="n">
        <f aca="false">IFERROR(Rohdaten!C320*100/Rohdaten!G320,"–")</f>
        <v>1.13636363636364</v>
      </c>
      <c r="D320" s="8" t="n">
        <f aca="false">IFERROR(Rohdaten!C320*100/(Rohdaten!H320*9),"–")</f>
        <v>13.8888888888889</v>
      </c>
      <c r="E320" s="8" t="n">
        <f aca="false">IFERROR(Rohdaten!C320*100/(Rohdaten!I320*4),"–")</f>
        <v>1.47058823529412</v>
      </c>
      <c r="F320" s="8" t="n">
        <f aca="false">IFERROR(Rohdaten!C320*100/(Rohdaten!J320*4),"–")</f>
        <v>10.4166666666667</v>
      </c>
      <c r="G320" s="9" t="str">
        <f aca="false">IFERROR(Rohdaten!C320*100/Rohdaten!K320,"–")</f>
        <v>–</v>
      </c>
      <c r="H320" s="8" t="str">
        <f aca="false">IFERROR(Rohdaten!C320*100/Rohdaten!L320,"–")</f>
        <v>–</v>
      </c>
      <c r="I320" s="9" t="str">
        <f aca="false">IFERROR(Rohdaten!C320*100/Rohdaten!M320,"–")</f>
        <v>–</v>
      </c>
      <c r="J320" s="8" t="str">
        <f aca="false">IFERROR(Rohdaten!C320*100/Rohdaten!N320,"–")</f>
        <v>–</v>
      </c>
      <c r="K320" s="9" t="n">
        <f aca="false">IFERROR(Rohdaten!C320*100/Rohdaten!O320,"–")</f>
        <v>1000</v>
      </c>
      <c r="L320" s="8" t="n">
        <f aca="false">IFERROR(Rohdaten!C320*100/Rohdaten!P320,"–")</f>
        <v>5000</v>
      </c>
      <c r="M320" s="8" t="n">
        <f aca="false">IFERROR(Rohdaten!C320*100/Rohdaten!Q320,"–")</f>
        <v>1666.66666666667</v>
      </c>
      <c r="N320" s="8" t="n">
        <f aca="false">IFERROR(Rohdaten!C320*100/Rohdaten!R320,"–")</f>
        <v>111.111111111111</v>
      </c>
      <c r="O320" s="8" t="n">
        <f aca="false">IFERROR(Rohdaten!C320*100/Rohdaten!S320,"–")</f>
        <v>1111.11111111111</v>
      </c>
      <c r="P320" s="9" t="n">
        <f aca="false">IFERROR(Rohdaten!C320*100/Rohdaten!T320,"–")</f>
        <v>6.25</v>
      </c>
      <c r="Q320" s="9" t="n">
        <f aca="false">IFERROR(Rohdaten!C320*100/Rohdaten!U320,"–")</f>
        <v>71.4285714285714</v>
      </c>
      <c r="R320" s="8" t="n">
        <f aca="false">IFERROR(Rohdaten!C320*100/Rohdaten!V320,"–")</f>
        <v>4.16666666666667</v>
      </c>
      <c r="S320" s="8" t="n">
        <f aca="false">IFERROR(Rohdaten!C320*100/Rohdaten!W320,"–")</f>
        <v>333.333333333333</v>
      </c>
      <c r="T320" s="8" t="n">
        <f aca="false">IFERROR(Rohdaten!C320*100/Rohdaten!X320,"–")</f>
        <v>2.38095238095238</v>
      </c>
      <c r="U320" s="8" t="n">
        <f aca="false">IFERROR(Rohdaten!C320*100/Rohdaten!Y320,"–")</f>
        <v>62.5</v>
      </c>
      <c r="V320" s="8" t="n">
        <f aca="false">IFERROR(Rohdaten!C320*100/Rohdaten!Z320,"–")</f>
        <v>0.318471337579618</v>
      </c>
    </row>
    <row r="321" customFormat="false" ht="15" hidden="false" customHeight="true" outlineLevel="0" collapsed="false">
      <c r="A321" s="4" t="str">
        <f aca="false">Rohdaten!A321</f>
        <v>Tintenfisch/Calamari</v>
      </c>
      <c r="B321" s="8" t="n">
        <f aca="false">Rohdaten!C321</f>
        <v>2.5</v>
      </c>
      <c r="C321" s="8" t="n">
        <f aca="false">IFERROR(Rohdaten!C321*100/Rohdaten!G321,"–")</f>
        <v>2.71739130434783</v>
      </c>
      <c r="D321" s="8" t="n">
        <f aca="false">IFERROR(Rohdaten!C321*100/(Rohdaten!H321*9),"–")</f>
        <v>19.8412698412698</v>
      </c>
      <c r="E321" s="8" t="n">
        <f aca="false">IFERROR(Rohdaten!C321*100/(Rohdaten!I321*4),"–")</f>
        <v>3.90625</v>
      </c>
      <c r="F321" s="8" t="n">
        <f aca="false">IFERROR(Rohdaten!C321*100/(Rohdaten!J321*4),"–")</f>
        <v>20.1612903225806</v>
      </c>
      <c r="G321" s="9" t="n">
        <f aca="false">IFERROR(Rohdaten!C321*100/Rohdaten!K321,"–")</f>
        <v>8.33333333333333</v>
      </c>
      <c r="H321" s="8" t="n">
        <f aca="false">IFERROR(Rohdaten!C321*100/Rohdaten!L321,"–")</f>
        <v>52.0833333333333</v>
      </c>
      <c r="I321" s="9" t="str">
        <f aca="false">IFERROR(Rohdaten!C321*100/Rohdaten!M321,"–")</f>
        <v>–</v>
      </c>
      <c r="J321" s="8" t="n">
        <f aca="false">IFERROR(Rohdaten!C321*100/Rohdaten!N321,"–")</f>
        <v>208.333333333333</v>
      </c>
      <c r="K321" s="9" t="n">
        <f aca="false">IFERROR(Rohdaten!C321*100/Rohdaten!O321,"–")</f>
        <v>2500</v>
      </c>
      <c r="L321" s="8" t="n">
        <f aca="false">IFERROR(Rohdaten!C321*100/Rohdaten!P321,"–")</f>
        <v>5000</v>
      </c>
      <c r="M321" s="8" t="n">
        <f aca="false">IFERROR(Rohdaten!C321*100/Rohdaten!Q321,"–")</f>
        <v>641.025641025641</v>
      </c>
      <c r="N321" s="8" t="n">
        <f aca="false">IFERROR(Rohdaten!C321*100/Rohdaten!R321,"–")</f>
        <v>113.636363636364</v>
      </c>
      <c r="O321" s="8" t="n">
        <f aca="false">IFERROR(Rohdaten!C321*100/Rohdaten!S321,"–")</f>
        <v>4166.66666666667</v>
      </c>
      <c r="P321" s="9" t="n">
        <f aca="false">IFERROR(Rohdaten!C321*100/Rohdaten!T321,"–")</f>
        <v>35.7142857142857</v>
      </c>
      <c r="Q321" s="9" t="n">
        <f aca="false">IFERROR(Rohdaten!C321*100/Rohdaten!U321,"–")</f>
        <v>192.307692307692</v>
      </c>
      <c r="R321" s="8" t="n">
        <f aca="false">IFERROR(Rohdaten!C321*100/Rohdaten!V321,"–")</f>
        <v>7.8125</v>
      </c>
      <c r="S321" s="8" t="n">
        <f aca="false">IFERROR(Rohdaten!C321*100/Rohdaten!W321,"–")</f>
        <v>357.142857142857</v>
      </c>
      <c r="T321" s="8" t="n">
        <f aca="false">IFERROR(Rohdaten!C321*100/Rohdaten!X321,"–")</f>
        <v>7.57575757575758</v>
      </c>
      <c r="U321" s="8" t="n">
        <f aca="false">IFERROR(Rohdaten!C321*100/Rohdaten!Y321,"–")</f>
        <v>166.666666666667</v>
      </c>
      <c r="V321" s="8" t="n">
        <f aca="false">IFERROR(Rohdaten!C321*100/Rohdaten!Z321,"–")</f>
        <v>1.01626016260163</v>
      </c>
    </row>
    <row r="322" customFormat="false" ht="15" hidden="false" customHeight="true" outlineLevel="0" collapsed="false">
      <c r="A322" s="4" t="str">
        <f aca="false">Rohdaten!A322</f>
        <v>Oktopus</v>
      </c>
      <c r="B322" s="8" t="n">
        <f aca="false">Rohdaten!C322</f>
        <v>3</v>
      </c>
      <c r="C322" s="8" t="n">
        <f aca="false">IFERROR(Rohdaten!C322*100/Rohdaten!G322,"–")</f>
        <v>3.65853658536585</v>
      </c>
      <c r="D322" s="8" t="n">
        <f aca="false">IFERROR(Rohdaten!C322*100/(Rohdaten!H322*9),"–")</f>
        <v>33.3333333333333</v>
      </c>
      <c r="E322" s="8" t="n">
        <f aca="false">IFERROR(Rohdaten!C322*100/(Rohdaten!I322*4),"–")</f>
        <v>5</v>
      </c>
      <c r="F322" s="8" t="n">
        <f aca="false">IFERROR(Rohdaten!C322*100/(Rohdaten!J322*4),"–")</f>
        <v>34.0909090909091</v>
      </c>
      <c r="G322" s="9" t="n">
        <f aca="false">IFERROR(Rohdaten!C322*100/Rohdaten!K322,"–")</f>
        <v>6.66666666666667</v>
      </c>
      <c r="H322" s="8" t="n">
        <f aca="false">IFERROR(Rohdaten!C322*100/Rohdaten!L322,"–")</f>
        <v>60</v>
      </c>
      <c r="I322" s="9" t="str">
        <f aca="false">IFERROR(Rohdaten!C322*100/Rohdaten!M322,"–")</f>
        <v>–</v>
      </c>
      <c r="J322" s="8" t="n">
        <f aca="false">IFERROR(Rohdaten!C322*100/Rohdaten!N322,"–")</f>
        <v>250</v>
      </c>
      <c r="K322" s="9" t="n">
        <f aca="false">IFERROR(Rohdaten!C322*100/Rohdaten!O322,"–")</f>
        <v>3000</v>
      </c>
      <c r="L322" s="8" t="n">
        <f aca="false">IFERROR(Rohdaten!C322*100/Rohdaten!P322,"–")</f>
        <v>10000</v>
      </c>
      <c r="M322" s="8" t="n">
        <f aca="false">IFERROR(Rohdaten!C322*100/Rohdaten!Q322,"–")</f>
        <v>7500</v>
      </c>
      <c r="N322" s="8" t="n">
        <f aca="false">IFERROR(Rohdaten!C322*100/Rohdaten!R322,"–")</f>
        <v>142.857142857143</v>
      </c>
      <c r="O322" s="8" t="n">
        <f aca="false">IFERROR(Rohdaten!C322*100/Rohdaten!S322,"–")</f>
        <v>833.333333333333</v>
      </c>
      <c r="P322" s="9" t="n">
        <f aca="false">IFERROR(Rohdaten!C322*100/Rohdaten!T322,"–")</f>
        <v>18.75</v>
      </c>
      <c r="Q322" s="9" t="n">
        <f aca="false">IFERROR(Rohdaten!C322*100/Rohdaten!U322,"–")</f>
        <v>15</v>
      </c>
      <c r="R322" s="8" t="n">
        <f aca="false">IFERROR(Rohdaten!C322*100/Rohdaten!V322,"–")</f>
        <v>5.66037735849057</v>
      </c>
      <c r="S322" s="8" t="n">
        <f aca="false">IFERROR(Rohdaten!C322*100/Rohdaten!W322,"–")</f>
        <v>56.6037735849057</v>
      </c>
      <c r="T322" s="8" t="n">
        <f aca="false">IFERROR(Rohdaten!C322*100/Rohdaten!X322,"–")</f>
        <v>10</v>
      </c>
      <c r="U322" s="8" t="n">
        <f aca="false">IFERROR(Rohdaten!C322*100/Rohdaten!Y322,"–")</f>
        <v>176.470588235294</v>
      </c>
      <c r="V322" s="8" t="n">
        <f aca="false">IFERROR(Rohdaten!C322*100/Rohdaten!Z322,"–")</f>
        <v>0.857142857142857</v>
      </c>
    </row>
    <row r="323" customFormat="false" ht="15" hidden="false" customHeight="true" outlineLevel="0" collapsed="false">
      <c r="A323" s="4" t="str">
        <f aca="false">Rohdaten!A323</f>
        <v>Krebs/Taschenkrebs</v>
      </c>
      <c r="B323" s="8" t="n">
        <f aca="false">Rohdaten!C323</f>
        <v>3.5</v>
      </c>
      <c r="C323" s="8" t="n">
        <f aca="false">IFERROR(Rohdaten!C323*100/Rohdaten!G323,"–")</f>
        <v>3.60824742268041</v>
      </c>
      <c r="D323" s="8" t="n">
        <f aca="false">IFERROR(Rohdaten!C323*100/(Rohdaten!H323*9),"–")</f>
        <v>25.9259259259259</v>
      </c>
      <c r="E323" s="8" t="n">
        <f aca="false">IFERROR(Rohdaten!C323*100/(Rohdaten!I323*4),"–")</f>
        <v>4.60526315789474</v>
      </c>
      <c r="F323" s="8" t="str">
        <f aca="false">IFERROR(Rohdaten!C323*100/(Rohdaten!J323*4),"–")</f>
        <v>–</v>
      </c>
      <c r="G323" s="9" t="str">
        <f aca="false">IFERROR(Rohdaten!C323*100/Rohdaten!K323,"–")</f>
        <v>–</v>
      </c>
      <c r="H323" s="8" t="n">
        <f aca="false">IFERROR(Rohdaten!C323*100/Rohdaten!L323,"–")</f>
        <v>116.666666666667</v>
      </c>
      <c r="I323" s="9" t="str">
        <f aca="false">IFERROR(Rohdaten!C323*100/Rohdaten!M323,"–")</f>
        <v>–</v>
      </c>
      <c r="J323" s="8" t="n">
        <f aca="false">IFERROR(Rohdaten!C323*100/Rohdaten!N323,"–")</f>
        <v>175</v>
      </c>
      <c r="K323" s="9" t="n">
        <f aca="false">IFERROR(Rohdaten!C323*100/Rohdaten!O323,"–")</f>
        <v>3500</v>
      </c>
      <c r="L323" s="8" t="n">
        <f aca="false">IFERROR(Rohdaten!C323*100/Rohdaten!P323,"–")</f>
        <v>17500</v>
      </c>
      <c r="M323" s="8" t="n">
        <f aca="false">IFERROR(Rohdaten!C323*100/Rohdaten!Q323,"–")</f>
        <v>5833.33333333333</v>
      </c>
      <c r="N323" s="8" t="n">
        <f aca="false">IFERROR(Rohdaten!C323*100/Rohdaten!R323,"–")</f>
        <v>116.666666666667</v>
      </c>
      <c r="O323" s="8" t="n">
        <f aca="false">IFERROR(Rohdaten!C323*100/Rohdaten!S323,"–")</f>
        <v>1750</v>
      </c>
      <c r="P323" s="9" t="n">
        <f aca="false">IFERROR(Rohdaten!C323*100/Rohdaten!T323,"–")</f>
        <v>8.13953488372093</v>
      </c>
      <c r="Q323" s="9" t="n">
        <f aca="false">IFERROR(Rohdaten!C323*100/Rohdaten!U323,"–")</f>
        <v>35</v>
      </c>
      <c r="R323" s="8" t="n">
        <f aca="false">IFERROR(Rohdaten!C323*100/Rohdaten!V323,"–")</f>
        <v>3.93258426966292</v>
      </c>
      <c r="S323" s="8" t="n">
        <f aca="false">IFERROR(Rohdaten!C323*100/Rohdaten!W323,"–")</f>
        <v>500</v>
      </c>
      <c r="T323" s="8" t="n">
        <f aca="false">IFERROR(Rohdaten!C323*100/Rohdaten!X323,"–")</f>
        <v>5.83333333333333</v>
      </c>
      <c r="U323" s="8" t="n">
        <f aca="false">IFERROR(Rohdaten!C323*100/Rohdaten!Y323,"–")</f>
        <v>87.5</v>
      </c>
      <c r="V323" s="8" t="n">
        <f aca="false">IFERROR(Rohdaten!C323*100/Rohdaten!Z323,"–")</f>
        <v>1.16666666666667</v>
      </c>
    </row>
    <row r="324" customFormat="false" ht="15" hidden="false" customHeight="true" outlineLevel="0" collapsed="false">
      <c r="A324" s="4" t="str">
        <f aca="false">Rohdaten!A324</f>
        <v>Hummer</v>
      </c>
      <c r="B324" s="8" t="n">
        <f aca="false">Rohdaten!C324</f>
        <v>5</v>
      </c>
      <c r="C324" s="8" t="n">
        <f aca="false">IFERROR(Rohdaten!C324*100/Rohdaten!G324,"–")</f>
        <v>5.61797752808989</v>
      </c>
      <c r="D324" s="8" t="n">
        <f aca="false">IFERROR(Rohdaten!C324*100/(Rohdaten!H324*9),"–")</f>
        <v>61.7283950617284</v>
      </c>
      <c r="E324" s="8" t="n">
        <f aca="false">IFERROR(Rohdaten!C324*100/(Rohdaten!I324*4),"–")</f>
        <v>6.57894736842105</v>
      </c>
      <c r="F324" s="8" t="str">
        <f aca="false">IFERROR(Rohdaten!C324*100/(Rohdaten!J324*4),"–")</f>
        <v>–</v>
      </c>
      <c r="G324" s="9" t="str">
        <f aca="false">IFERROR(Rohdaten!C324*100/Rohdaten!K324,"–")</f>
        <v>–</v>
      </c>
      <c r="H324" s="8" t="str">
        <f aca="false">IFERROR(Rohdaten!C324*100/Rohdaten!L324,"–")</f>
        <v>–</v>
      </c>
      <c r="I324" s="9" t="str">
        <f aca="false">IFERROR(Rohdaten!C324*100/Rohdaten!M324,"–")</f>
        <v>–</v>
      </c>
      <c r="J324" s="8" t="n">
        <f aca="false">IFERROR(Rohdaten!C324*100/Rohdaten!N324,"–")</f>
        <v>357.142857142857</v>
      </c>
      <c r="K324" s="9" t="n">
        <f aca="false">IFERROR(Rohdaten!C324*100/Rohdaten!O324,"–")</f>
        <v>5000</v>
      </c>
      <c r="L324" s="8" t="n">
        <f aca="false">IFERROR(Rohdaten!C324*100/Rohdaten!P324,"–")</f>
        <v>25000</v>
      </c>
      <c r="M324" s="8" t="n">
        <f aca="false">IFERROR(Rohdaten!C324*100/Rohdaten!Q324,"–")</f>
        <v>10000</v>
      </c>
      <c r="N324" s="8" t="n">
        <f aca="false">IFERROR(Rohdaten!C324*100/Rohdaten!R324,"–")</f>
        <v>333.333333333333</v>
      </c>
      <c r="O324" s="8" t="n">
        <f aca="false">IFERROR(Rohdaten!C324*100/Rohdaten!S324,"–")</f>
        <v>5000</v>
      </c>
      <c r="P324" s="9" t="n">
        <f aca="false">IFERROR(Rohdaten!C324*100/Rohdaten!T324,"–")</f>
        <v>33.3333333333333</v>
      </c>
      <c r="Q324" s="9" t="n">
        <f aca="false">IFERROR(Rohdaten!C324*100/Rohdaten!U324,"–")</f>
        <v>333.333333333333</v>
      </c>
      <c r="R324" s="8" t="n">
        <f aca="false">IFERROR(Rohdaten!C324*100/Rohdaten!V324,"–")</f>
        <v>9.61538461538462</v>
      </c>
      <c r="S324" s="8" t="n">
        <f aca="false">IFERROR(Rohdaten!C324*100/Rohdaten!W324,"–")</f>
        <v>1250</v>
      </c>
      <c r="T324" s="8" t="n">
        <f aca="false">IFERROR(Rohdaten!C324*100/Rohdaten!X324,"–")</f>
        <v>16.6666666666667</v>
      </c>
      <c r="U324" s="8" t="n">
        <f aca="false">IFERROR(Rohdaten!C324*100/Rohdaten!Y324,"–")</f>
        <v>142.857142857143</v>
      </c>
      <c r="V324" s="8" t="n">
        <f aca="false">IFERROR(Rohdaten!C324*100/Rohdaten!Z324,"–")</f>
        <v>1.66666666666667</v>
      </c>
    </row>
    <row r="325" customFormat="false" ht="15" hidden="false" customHeight="true" outlineLevel="0" collapsed="false">
      <c r="A325" s="4" t="str">
        <f aca="false">Rohdaten!A325</f>
        <v>Räucherlachs</v>
      </c>
      <c r="B325" s="8" t="n">
        <f aca="false">Rohdaten!C325</f>
        <v>3.5</v>
      </c>
      <c r="C325" s="8" t="n">
        <f aca="false">IFERROR(Rohdaten!C325*100/Rohdaten!G325,"–")</f>
        <v>2.99145299145299</v>
      </c>
      <c r="D325" s="8" t="n">
        <f aca="false">IFERROR(Rohdaten!C325*100/(Rohdaten!H325*9),"–")</f>
        <v>9.04392764857881</v>
      </c>
      <c r="E325" s="8" t="n">
        <f aca="false">IFERROR(Rohdaten!C325*100/(Rohdaten!I325*4),"–")</f>
        <v>4.86111111111111</v>
      </c>
      <c r="F325" s="8" t="str">
        <f aca="false">IFERROR(Rohdaten!C325*100/(Rohdaten!J325*4),"–")</f>
        <v>–</v>
      </c>
      <c r="G325" s="9" t="n">
        <f aca="false">IFERROR(Rohdaten!C325*100/Rohdaten!K325,"–")</f>
        <v>43.75</v>
      </c>
      <c r="H325" s="8" t="str">
        <f aca="false">IFERROR(Rohdaten!C325*100/Rohdaten!L325,"–")</f>
        <v>–</v>
      </c>
      <c r="I325" s="9" t="n">
        <f aca="false">IFERROR(Rohdaten!C325*100/Rohdaten!M325,"–")</f>
        <v>43.75</v>
      </c>
      <c r="J325" s="8" t="n">
        <f aca="false">IFERROR(Rohdaten!C325*100/Rohdaten!N325,"–")</f>
        <v>233.333333333333</v>
      </c>
      <c r="K325" s="9" t="n">
        <f aca="false">IFERROR(Rohdaten!C325*100/Rohdaten!O325,"–")</f>
        <v>3500</v>
      </c>
      <c r="L325" s="8" t="n">
        <f aca="false">IFERROR(Rohdaten!C325*100/Rohdaten!P325,"–")</f>
        <v>1750</v>
      </c>
      <c r="M325" s="8" t="n">
        <f aca="false">IFERROR(Rohdaten!C325*100/Rohdaten!Q325,"–")</f>
        <v>2333.33333333333</v>
      </c>
      <c r="N325" s="8" t="n">
        <f aca="false">IFERROR(Rohdaten!C325*100/Rohdaten!R325,"–")</f>
        <v>50</v>
      </c>
      <c r="O325" s="8" t="n">
        <f aca="false">IFERROR(Rohdaten!C325*100/Rohdaten!S325,"–")</f>
        <v>1166.66666666667</v>
      </c>
      <c r="P325" s="9" t="n">
        <f aca="false">IFERROR(Rohdaten!C325*100/Rohdaten!T325,"–")</f>
        <v>116.666666666667</v>
      </c>
      <c r="Q325" s="9" t="n">
        <f aca="false">IFERROR(Rohdaten!C325*100/Rohdaten!U325,"–")</f>
        <v>100</v>
      </c>
      <c r="R325" s="8" t="n">
        <f aca="false">IFERROR(Rohdaten!C325*100/Rohdaten!V325,"–")</f>
        <v>29.1666666666667</v>
      </c>
      <c r="S325" s="8" t="n">
        <f aca="false">IFERROR(Rohdaten!C325*100/Rohdaten!W325,"–")</f>
        <v>875</v>
      </c>
      <c r="T325" s="8" t="n">
        <f aca="false">IFERROR(Rohdaten!C325*100/Rohdaten!X325,"–")</f>
        <v>14</v>
      </c>
      <c r="U325" s="8" t="n">
        <f aca="false">IFERROR(Rohdaten!C325*100/Rohdaten!Y325,"–")</f>
        <v>583.333333333333</v>
      </c>
      <c r="V325" s="8" t="n">
        <f aca="false">IFERROR(Rohdaten!C325*100/Rohdaten!Z325,"–")</f>
        <v>1.52173913043478</v>
      </c>
    </row>
    <row r="326" customFormat="false" ht="15" hidden="false" customHeight="true" outlineLevel="0" collapsed="false">
      <c r="A326" s="4" t="str">
        <f aca="false">Rohdaten!A326</f>
        <v>Matjes/Hering eingelegt</v>
      </c>
      <c r="B326" s="8" t="n">
        <f aca="false">Rohdaten!C326</f>
        <v>1.5</v>
      </c>
      <c r="C326" s="8" t="n">
        <f aca="false">IFERROR(Rohdaten!C326*100/Rohdaten!G326,"–")</f>
        <v>0.681818181818182</v>
      </c>
      <c r="D326" s="8" t="n">
        <f aca="false">IFERROR(Rohdaten!C326*100/(Rohdaten!H326*9),"–")</f>
        <v>1.11111111111111</v>
      </c>
      <c r="E326" s="8" t="n">
        <f aca="false">IFERROR(Rohdaten!C326*100/(Rohdaten!I326*4),"–")</f>
        <v>2.20588235294118</v>
      </c>
      <c r="F326" s="8" t="n">
        <f aca="false">IFERROR(Rohdaten!C326*100/(Rohdaten!J326*4),"–")</f>
        <v>12.5</v>
      </c>
      <c r="G326" s="9" t="n">
        <f aca="false">IFERROR(Rohdaten!C326*100/Rohdaten!K326,"–")</f>
        <v>3.75</v>
      </c>
      <c r="H326" s="8" t="str">
        <f aca="false">IFERROR(Rohdaten!C326*100/Rohdaten!L326,"–")</f>
        <v>–</v>
      </c>
      <c r="I326" s="9" t="n">
        <f aca="false">IFERROR(Rohdaten!C326*100/Rohdaten!M326,"–")</f>
        <v>10</v>
      </c>
      <c r="J326" s="8" t="n">
        <f aca="false">IFERROR(Rohdaten!C326*100/Rohdaten!N326,"–")</f>
        <v>125</v>
      </c>
      <c r="K326" s="9" t="n">
        <f aca="false">IFERROR(Rohdaten!C326*100/Rohdaten!O326,"–")</f>
        <v>1500</v>
      </c>
      <c r="L326" s="8" t="n">
        <f aca="false">IFERROR(Rohdaten!C326*100/Rohdaten!P326,"–")</f>
        <v>5000</v>
      </c>
      <c r="M326" s="8" t="n">
        <f aca="false">IFERROR(Rohdaten!C326*100/Rohdaten!Q326,"–")</f>
        <v>750</v>
      </c>
      <c r="N326" s="8" t="n">
        <f aca="false">IFERROR(Rohdaten!C326*100/Rohdaten!R326,"–")</f>
        <v>42.8571428571429</v>
      </c>
      <c r="O326" s="8" t="n">
        <f aca="false">IFERROR(Rohdaten!C326*100/Rohdaten!S326,"–")</f>
        <v>500</v>
      </c>
      <c r="P326" s="9" t="n">
        <f aca="false">IFERROR(Rohdaten!C326*100/Rohdaten!T326,"–")</f>
        <v>15</v>
      </c>
      <c r="Q326" s="9" t="n">
        <f aca="false">IFERROR(Rohdaten!C326*100/Rohdaten!U326,"–")</f>
        <v>18.75</v>
      </c>
      <c r="R326" s="8" t="n">
        <f aca="false">IFERROR(Rohdaten!C326*100/Rohdaten!V326,"–")</f>
        <v>2.72727272727273</v>
      </c>
      <c r="S326" s="8" t="n">
        <f aca="false">IFERROR(Rohdaten!C326*100/Rohdaten!W326,"–")</f>
        <v>150</v>
      </c>
      <c r="T326" s="8" t="n">
        <f aca="false">IFERROR(Rohdaten!C326*100/Rohdaten!X326,"–")</f>
        <v>5</v>
      </c>
      <c r="U326" s="8" t="n">
        <f aca="false">IFERROR(Rohdaten!C326*100/Rohdaten!Y326,"–")</f>
        <v>166.666666666667</v>
      </c>
      <c r="V326" s="8" t="n">
        <f aca="false">IFERROR(Rohdaten!C326*100/Rohdaten!Z326,"–")</f>
        <v>0.5</v>
      </c>
    </row>
    <row r="327" customFormat="false" ht="15" hidden="false" customHeight="true" outlineLevel="0" collapsed="false">
      <c r="A327" s="4" t="str">
        <f aca="false">Rohdaten!A327</f>
        <v>Fischstäbchen</v>
      </c>
      <c r="B327" s="8" t="n">
        <f aca="false">Rohdaten!C327</f>
        <v>2</v>
      </c>
      <c r="C327" s="8" t="n">
        <f aca="false">IFERROR(Rohdaten!C327*100/Rohdaten!G327,"–")</f>
        <v>0.909090909090909</v>
      </c>
      <c r="D327" s="8" t="n">
        <f aca="false">IFERROR(Rohdaten!C327*100/(Rohdaten!H327*9),"–")</f>
        <v>1.85185185185185</v>
      </c>
      <c r="E327" s="8" t="n">
        <f aca="false">IFERROR(Rohdaten!C327*100/(Rohdaten!I327*4),"–")</f>
        <v>4.16666666666667</v>
      </c>
      <c r="F327" s="8" t="n">
        <f aca="false">IFERROR(Rohdaten!C327*100/(Rohdaten!J327*4),"–")</f>
        <v>3.33333333333333</v>
      </c>
      <c r="G327" s="9" t="n">
        <f aca="false">IFERROR(Rohdaten!C327*100/Rohdaten!K327,"–")</f>
        <v>20</v>
      </c>
      <c r="H327" s="8" t="str">
        <f aca="false">IFERROR(Rohdaten!C327*100/Rohdaten!L327,"–")</f>
        <v>–</v>
      </c>
      <c r="I327" s="9" t="n">
        <f aca="false">IFERROR(Rohdaten!C327*100/Rohdaten!M327,"–")</f>
        <v>100</v>
      </c>
      <c r="J327" s="8" t="n">
        <f aca="false">IFERROR(Rohdaten!C327*100/Rohdaten!N327,"–")</f>
        <v>400</v>
      </c>
      <c r="K327" s="9" t="n">
        <f aca="false">IFERROR(Rohdaten!C327*100/Rohdaten!O327,"–")</f>
        <v>100</v>
      </c>
      <c r="L327" s="8" t="n">
        <f aca="false">IFERROR(Rohdaten!C327*100/Rohdaten!P327,"–")</f>
        <v>3333.33333333333</v>
      </c>
      <c r="M327" s="8" t="n">
        <f aca="false">IFERROR(Rohdaten!C327*100/Rohdaten!Q327,"–")</f>
        <v>2500</v>
      </c>
      <c r="N327" s="8" t="n">
        <f aca="false">IFERROR(Rohdaten!C327*100/Rohdaten!R327,"–")</f>
        <v>100</v>
      </c>
      <c r="O327" s="8" t="n">
        <f aca="false">IFERROR(Rohdaten!C327*100/Rohdaten!S327,"–")</f>
        <v>1333.33333333333</v>
      </c>
      <c r="P327" s="9" t="n">
        <f aca="false">IFERROR(Rohdaten!C327*100/Rohdaten!T327,"–")</f>
        <v>20</v>
      </c>
      <c r="Q327" s="9" t="n">
        <f aca="false">IFERROR(Rohdaten!C327*100/Rohdaten!U327,"–")</f>
        <v>200</v>
      </c>
      <c r="R327" s="8" t="n">
        <f aca="false">IFERROR(Rohdaten!C327*100/Rohdaten!V327,"–")</f>
        <v>10</v>
      </c>
      <c r="S327" s="8" t="n">
        <f aca="false">IFERROR(Rohdaten!C327*100/Rohdaten!W327,"–")</f>
        <v>500</v>
      </c>
      <c r="T327" s="8" t="n">
        <f aca="false">IFERROR(Rohdaten!C327*100/Rohdaten!X327,"–")</f>
        <v>10</v>
      </c>
      <c r="U327" s="8" t="n">
        <f aca="false">IFERROR(Rohdaten!C327*100/Rohdaten!Y327,"–")</f>
        <v>500</v>
      </c>
      <c r="V327" s="8" t="n">
        <f aca="false">IFERROR(Rohdaten!C327*100/Rohdaten!Z327,"–")</f>
        <v>0.909090909090909</v>
      </c>
    </row>
    <row r="328" customFormat="false" ht="15" hidden="false" customHeight="true" outlineLevel="0" collapsed="false">
      <c r="A328" s="4" t="str">
        <f aca="false">Rohdaten!A328</f>
        <v>Surimi</v>
      </c>
      <c r="B328" s="8" t="n">
        <f aca="false">Rohdaten!C328</f>
        <v>1.8</v>
      </c>
      <c r="C328" s="8" t="n">
        <f aca="false">IFERROR(Rohdaten!C328*100/Rohdaten!G328,"–")</f>
        <v>1.81818181818182</v>
      </c>
      <c r="D328" s="8" t="n">
        <f aca="false">IFERROR(Rohdaten!C328*100/(Rohdaten!H328*9),"–")</f>
        <v>22.2222222222222</v>
      </c>
      <c r="E328" s="8" t="n">
        <f aca="false">IFERROR(Rohdaten!C328*100/(Rohdaten!I328*4),"–")</f>
        <v>3</v>
      </c>
      <c r="F328" s="8" t="n">
        <f aca="false">IFERROR(Rohdaten!C328*100/(Rohdaten!J328*4),"–")</f>
        <v>5.625</v>
      </c>
      <c r="G328" s="9" t="n">
        <f aca="false">IFERROR(Rohdaten!C328*100/Rohdaten!K328,"–")</f>
        <v>36</v>
      </c>
      <c r="H328" s="8" t="str">
        <f aca="false">IFERROR(Rohdaten!C328*100/Rohdaten!L328,"–")</f>
        <v>–</v>
      </c>
      <c r="I328" s="9" t="n">
        <f aca="false">IFERROR(Rohdaten!C328*100/Rohdaten!M328,"–")</f>
        <v>180</v>
      </c>
      <c r="J328" s="8" t="n">
        <f aca="false">IFERROR(Rohdaten!C328*100/Rohdaten!N328,"–")</f>
        <v>600</v>
      </c>
      <c r="K328" s="9" t="n">
        <f aca="false">IFERROR(Rohdaten!C328*100/Rohdaten!O328,"–")</f>
        <v>1800</v>
      </c>
      <c r="L328" s="8" t="n">
        <f aca="false">IFERROR(Rohdaten!C328*100/Rohdaten!P328,"–")</f>
        <v>9000</v>
      </c>
      <c r="M328" s="8" t="n">
        <f aca="false">IFERROR(Rohdaten!C328*100/Rohdaten!Q328,"–")</f>
        <v>6000</v>
      </c>
      <c r="N328" s="8" t="n">
        <f aca="false">IFERROR(Rohdaten!C328*100/Rohdaten!R328,"–")</f>
        <v>360</v>
      </c>
      <c r="O328" s="8" t="n">
        <f aca="false">IFERROR(Rohdaten!C328*100/Rohdaten!S328,"–")</f>
        <v>1800</v>
      </c>
      <c r="P328" s="9" t="n">
        <f aca="false">IFERROR(Rohdaten!C328*100/Rohdaten!T328,"–")</f>
        <v>60</v>
      </c>
      <c r="Q328" s="9" t="n">
        <f aca="false">IFERROR(Rohdaten!C328*100/Rohdaten!U328,"–")</f>
        <v>360</v>
      </c>
      <c r="R328" s="8" t="n">
        <f aca="false">IFERROR(Rohdaten!C328*100/Rohdaten!V328,"–")</f>
        <v>18</v>
      </c>
      <c r="S328" s="8" t="n">
        <f aca="false">IFERROR(Rohdaten!C328*100/Rohdaten!W328,"–")</f>
        <v>900</v>
      </c>
      <c r="T328" s="8" t="n">
        <f aca="false">IFERROR(Rohdaten!C328*100/Rohdaten!X328,"–")</f>
        <v>12</v>
      </c>
      <c r="U328" s="8" t="n">
        <f aca="false">IFERROR(Rohdaten!C328*100/Rohdaten!Y328,"–")</f>
        <v>600</v>
      </c>
      <c r="V328" s="8" t="n">
        <f aca="false">IFERROR(Rohdaten!C328*100/Rohdaten!Z328,"–")</f>
        <v>1.2</v>
      </c>
    </row>
    <row r="329" customFormat="false" ht="15" hidden="false" customHeight="true" outlineLevel="0" collapsed="false">
      <c r="A329" s="4" t="str">
        <f aca="false">Rohdaten!A329</f>
        <v>Kalbfleisch</v>
      </c>
      <c r="B329" s="8" t="n">
        <f aca="false">Rohdaten!C329</f>
        <v>11</v>
      </c>
      <c r="C329" s="8" t="n">
        <f aca="false">IFERROR(Rohdaten!C329*100/Rohdaten!G329,"–")</f>
        <v>6.3953488372093</v>
      </c>
      <c r="D329" s="8" t="n">
        <f aca="false">IFERROR(Rohdaten!C329*100/(Rohdaten!H329*9),"–")</f>
        <v>26.0047281323877</v>
      </c>
      <c r="E329" s="8" t="n">
        <f aca="false">IFERROR(Rohdaten!C329*100/(Rohdaten!I329*4),"–")</f>
        <v>9.48275862068966</v>
      </c>
      <c r="F329" s="8" t="str">
        <f aca="false">IFERROR(Rohdaten!C329*100/(Rohdaten!J329*4),"–")</f>
        <v>–</v>
      </c>
      <c r="G329" s="9" t="str">
        <f aca="false">IFERROR(Rohdaten!C329*100/Rohdaten!K329,"–")</f>
        <v>–</v>
      </c>
      <c r="H329" s="8" t="str">
        <f aca="false">IFERROR(Rohdaten!C329*100/Rohdaten!L329,"–")</f>
        <v>–</v>
      </c>
      <c r="I329" s="9" t="str">
        <f aca="false">IFERROR(Rohdaten!C329*100/Rohdaten!M329,"–")</f>
        <v>–</v>
      </c>
      <c r="J329" s="8" t="n">
        <f aca="false">IFERROR(Rohdaten!C329*100/Rohdaten!N329,"–")</f>
        <v>5500</v>
      </c>
      <c r="K329" s="9" t="n">
        <f aca="false">IFERROR(Rohdaten!C329*100/Rohdaten!O329,"–")</f>
        <v>733.333333333333</v>
      </c>
      <c r="L329" s="8" t="n">
        <f aca="false">IFERROR(Rohdaten!C329*100/Rohdaten!P329,"–")</f>
        <v>18333.3333333333</v>
      </c>
      <c r="M329" s="8" t="n">
        <f aca="false">IFERROR(Rohdaten!C329*100/Rohdaten!Q329,"–")</f>
        <v>4782.60869565217</v>
      </c>
      <c r="N329" s="8" t="n">
        <f aca="false">IFERROR(Rohdaten!C329*100/Rohdaten!R329,"–")</f>
        <v>137.5</v>
      </c>
      <c r="O329" s="8" t="n">
        <f aca="false">IFERROR(Rohdaten!C329*100/Rohdaten!S329,"–")</f>
        <v>3055.55555555556</v>
      </c>
      <c r="P329" s="9" t="n">
        <f aca="false">IFERROR(Rohdaten!C329*100/Rohdaten!T329,"–")</f>
        <v>137.5</v>
      </c>
      <c r="Q329" s="9" t="n">
        <f aca="false">IFERROR(Rohdaten!C329*100/Rohdaten!U329,"–")</f>
        <v>785.714285714286</v>
      </c>
      <c r="R329" s="8" t="n">
        <f aca="false">IFERROR(Rohdaten!C329*100/Rohdaten!V329,"–")</f>
        <v>100</v>
      </c>
      <c r="S329" s="8" t="n">
        <f aca="false">IFERROR(Rohdaten!C329*100/Rohdaten!W329,"–")</f>
        <v>1100</v>
      </c>
      <c r="T329" s="8" t="n">
        <f aca="false">IFERROR(Rohdaten!C329*100/Rohdaten!X329,"–")</f>
        <v>47.8260869565217</v>
      </c>
      <c r="U329" s="8" t="n">
        <f aca="false">IFERROR(Rohdaten!C329*100/Rohdaten!Y329,"–")</f>
        <v>289.473684210526</v>
      </c>
      <c r="V329" s="8" t="n">
        <f aca="false">IFERROR(Rohdaten!C329*100/Rohdaten!Z329,"–")</f>
        <v>3.33333333333333</v>
      </c>
    </row>
    <row r="330" customFormat="false" ht="15" hidden="false" customHeight="true" outlineLevel="0" collapsed="false">
      <c r="A330" s="4" t="str">
        <f aca="false">Rohdaten!A330</f>
        <v>Pute/Truthahn</v>
      </c>
      <c r="B330" s="8" t="n">
        <f aca="false">Rohdaten!C330</f>
        <v>4.5</v>
      </c>
      <c r="C330" s="8" t="n">
        <f aca="false">IFERROR(Rohdaten!C330*100/Rohdaten!G330,"–")</f>
        <v>3.33333333333333</v>
      </c>
      <c r="D330" s="8" t="n">
        <f aca="false">IFERROR(Rohdaten!C330*100/(Rohdaten!H330*9),"–")</f>
        <v>25</v>
      </c>
      <c r="E330" s="8" t="n">
        <f aca="false">IFERROR(Rohdaten!C330*100/(Rohdaten!I330*4),"–")</f>
        <v>3.87931034482759</v>
      </c>
      <c r="F330" s="8" t="str">
        <f aca="false">IFERROR(Rohdaten!C330*100/(Rohdaten!J330*4),"–")</f>
        <v>–</v>
      </c>
      <c r="G330" s="9" t="str">
        <f aca="false">IFERROR(Rohdaten!C330*100/Rohdaten!K330,"–")</f>
        <v>–</v>
      </c>
      <c r="H330" s="8" t="str">
        <f aca="false">IFERROR(Rohdaten!C330*100/Rohdaten!L330,"–")</f>
        <v>–</v>
      </c>
      <c r="I330" s="9" t="n">
        <f aca="false">IFERROR(Rohdaten!C330*100/Rohdaten!M330,"–")</f>
        <v>4500</v>
      </c>
      <c r="J330" s="8" t="n">
        <f aca="false">IFERROR(Rohdaten!C330*100/Rohdaten!N330,"–")</f>
        <v>2250</v>
      </c>
      <c r="K330" s="9" t="str">
        <f aca="false">IFERROR(Rohdaten!C330*100/Rohdaten!O330,"–")</f>
        <v>–</v>
      </c>
      <c r="L330" s="8" t="n">
        <f aca="false">IFERROR(Rohdaten!C330*100/Rohdaten!P330,"–")</f>
        <v>9000</v>
      </c>
      <c r="M330" s="8" t="n">
        <f aca="false">IFERROR(Rohdaten!C330*100/Rohdaten!Q330,"–")</f>
        <v>3461.53846153846</v>
      </c>
      <c r="N330" s="8" t="n">
        <f aca="false">IFERROR(Rohdaten!C330*100/Rohdaten!R330,"–")</f>
        <v>69.2307692307692</v>
      </c>
      <c r="O330" s="8" t="n">
        <f aca="false">IFERROR(Rohdaten!C330*100/Rohdaten!S330,"–")</f>
        <v>750</v>
      </c>
      <c r="P330" s="9" t="n">
        <f aca="false">IFERROR(Rohdaten!C330*100/Rohdaten!T330,"–")</f>
        <v>56.25</v>
      </c>
      <c r="Q330" s="9" t="n">
        <f aca="false">IFERROR(Rohdaten!C330*100/Rohdaten!U330,"–")</f>
        <v>1500</v>
      </c>
      <c r="R330" s="8" t="n">
        <f aca="false">IFERROR(Rohdaten!C330*100/Rohdaten!V330,"–")</f>
        <v>34.6153846153846</v>
      </c>
      <c r="S330" s="8" t="n">
        <f aca="false">IFERROR(Rohdaten!C330*100/Rohdaten!W330,"–")</f>
        <v>375</v>
      </c>
      <c r="T330" s="8" t="n">
        <f aca="false">IFERROR(Rohdaten!C330*100/Rohdaten!X330,"–")</f>
        <v>16.0714285714286</v>
      </c>
      <c r="U330" s="8" t="n">
        <f aca="false">IFERROR(Rohdaten!C330*100/Rohdaten!Y330,"–")</f>
        <v>236.842105263158</v>
      </c>
      <c r="V330" s="8" t="n">
        <f aca="false">IFERROR(Rohdaten!C330*100/Rohdaten!Z330,"–")</f>
        <v>1.73076923076923</v>
      </c>
    </row>
    <row r="331" customFormat="false" ht="15" hidden="false" customHeight="true" outlineLevel="0" collapsed="false">
      <c r="A331" s="4" t="str">
        <f aca="false">Rohdaten!A331</f>
        <v>Ente</v>
      </c>
      <c r="B331" s="8" t="n">
        <f aca="false">Rohdaten!C331</f>
        <v>8</v>
      </c>
      <c r="C331" s="8" t="n">
        <f aca="false">IFERROR(Rohdaten!C331*100/Rohdaten!G331,"–")</f>
        <v>2.37388724035608</v>
      </c>
      <c r="D331" s="8" t="n">
        <f aca="false">IFERROR(Rohdaten!C331*100/(Rohdaten!H331*9),"–")</f>
        <v>3.17460317460317</v>
      </c>
      <c r="E331" s="8" t="n">
        <f aca="false">IFERROR(Rohdaten!C331*100/(Rohdaten!I331*4),"–")</f>
        <v>10.5263157894737</v>
      </c>
      <c r="F331" s="8" t="str">
        <f aca="false">IFERROR(Rohdaten!C331*100/(Rohdaten!J331*4),"–")</f>
        <v>–</v>
      </c>
      <c r="G331" s="9" t="n">
        <f aca="false">IFERROR(Rohdaten!C331*100/Rohdaten!K331,"–")</f>
        <v>13.3333333333333</v>
      </c>
      <c r="H331" s="8" t="str">
        <f aca="false">IFERROR(Rohdaten!C331*100/Rohdaten!L331,"–")</f>
        <v>–</v>
      </c>
      <c r="I331" s="9" t="str">
        <f aca="false">IFERROR(Rohdaten!C331*100/Rohdaten!M331,"–")</f>
        <v>–</v>
      </c>
      <c r="J331" s="8" t="n">
        <f aca="false">IFERROR(Rohdaten!C331*100/Rohdaten!N331,"–")</f>
        <v>1142.85714285714</v>
      </c>
      <c r="K331" s="9" t="n">
        <f aca="false">IFERROR(Rohdaten!C331*100/Rohdaten!O331,"–")</f>
        <v>266.666666666667</v>
      </c>
      <c r="L331" s="8" t="n">
        <f aca="false">IFERROR(Rohdaten!C331*100/Rohdaten!P331,"–")</f>
        <v>4000</v>
      </c>
      <c r="M331" s="8" t="n">
        <f aca="false">IFERROR(Rohdaten!C331*100/Rohdaten!Q331,"–")</f>
        <v>2962.96296296296</v>
      </c>
      <c r="N331" s="8" t="n">
        <f aca="false">IFERROR(Rohdaten!C331*100/Rohdaten!R331,"–")</f>
        <v>173.913043478261</v>
      </c>
      <c r="O331" s="8" t="n">
        <f aca="false">IFERROR(Rohdaten!C331*100/Rohdaten!S331,"–")</f>
        <v>4000</v>
      </c>
      <c r="P331" s="9" t="n">
        <f aca="false">IFERROR(Rohdaten!C331*100/Rohdaten!T331,"–")</f>
        <v>80</v>
      </c>
      <c r="Q331" s="9" t="n">
        <f aca="false">IFERROR(Rohdaten!C331*100/Rohdaten!U331,"–")</f>
        <v>2000</v>
      </c>
      <c r="R331" s="8" t="n">
        <f aca="false">IFERROR(Rohdaten!C331*100/Rohdaten!V331,"–")</f>
        <v>72.7272727272727</v>
      </c>
      <c r="S331" s="8" t="n">
        <f aca="false">IFERROR(Rohdaten!C331*100/Rohdaten!W331,"–")</f>
        <v>296.296296296296</v>
      </c>
      <c r="T331" s="8" t="n">
        <f aca="false">IFERROR(Rohdaten!C331*100/Rohdaten!X331,"–")</f>
        <v>50</v>
      </c>
      <c r="U331" s="8" t="n">
        <f aca="false">IFERROR(Rohdaten!C331*100/Rohdaten!Y331,"–")</f>
        <v>421.052631578947</v>
      </c>
      <c r="V331" s="8" t="n">
        <f aca="false">IFERROR(Rohdaten!C331*100/Rohdaten!Z331,"–")</f>
        <v>3.33333333333333</v>
      </c>
    </row>
    <row r="332" customFormat="false" ht="15" hidden="false" customHeight="true" outlineLevel="0" collapsed="false">
      <c r="A332" s="4" t="str">
        <f aca="false">Rohdaten!A332</f>
        <v>Gans</v>
      </c>
      <c r="B332" s="8" t="n">
        <f aca="false">Rohdaten!C332</f>
        <v>9</v>
      </c>
      <c r="C332" s="8" t="n">
        <f aca="false">IFERROR(Rohdaten!C332*100/Rohdaten!G332,"–")</f>
        <v>2.95081967213115</v>
      </c>
      <c r="D332" s="8" t="n">
        <f aca="false">IFERROR(Rohdaten!C332*100/(Rohdaten!H332*9),"–")</f>
        <v>4</v>
      </c>
      <c r="E332" s="8" t="n">
        <f aca="false">IFERROR(Rohdaten!C332*100/(Rohdaten!I332*4),"–")</f>
        <v>14.0625</v>
      </c>
      <c r="F332" s="8" t="str">
        <f aca="false">IFERROR(Rohdaten!C332*100/(Rohdaten!J332*4),"–")</f>
        <v>–</v>
      </c>
      <c r="G332" s="9" t="n">
        <f aca="false">IFERROR(Rohdaten!C332*100/Rohdaten!K332,"–")</f>
        <v>45</v>
      </c>
      <c r="H332" s="8" t="str">
        <f aca="false">IFERROR(Rohdaten!C332*100/Rohdaten!L332,"–")</f>
        <v>–</v>
      </c>
      <c r="I332" s="9" t="str">
        <f aca="false">IFERROR(Rohdaten!C332*100/Rohdaten!M332,"–")</f>
        <v>–</v>
      </c>
      <c r="J332" s="8" t="n">
        <f aca="false">IFERROR(Rohdaten!C332*100/Rohdaten!N332,"–")</f>
        <v>1500</v>
      </c>
      <c r="K332" s="9" t="n">
        <f aca="false">IFERROR(Rohdaten!C332*100/Rohdaten!O332,"–")</f>
        <v>300</v>
      </c>
      <c r="L332" s="8" t="n">
        <f aca="false">IFERROR(Rohdaten!C332*100/Rohdaten!P332,"–")</f>
        <v>12857.1428571429</v>
      </c>
      <c r="M332" s="8" t="n">
        <f aca="false">IFERROR(Rohdaten!C332*100/Rohdaten!Q332,"–")</f>
        <v>3913.04347826087</v>
      </c>
      <c r="N332" s="8" t="n">
        <f aca="false">IFERROR(Rohdaten!C332*100/Rohdaten!R332,"–")</f>
        <v>214.285714285714</v>
      </c>
      <c r="O332" s="8" t="n">
        <f aca="false">IFERROR(Rohdaten!C332*100/Rohdaten!S332,"–")</f>
        <v>3000</v>
      </c>
      <c r="P332" s="9" t="n">
        <f aca="false">IFERROR(Rohdaten!C332*100/Rohdaten!T332,"–")</f>
        <v>90</v>
      </c>
      <c r="Q332" s="9" t="n">
        <f aca="false">IFERROR(Rohdaten!C332*100/Rohdaten!U332,"–")</f>
        <v>1800</v>
      </c>
      <c r="R332" s="8" t="n">
        <f aca="false">IFERROR(Rohdaten!C332*100/Rohdaten!V332,"–")</f>
        <v>69.2307692307692</v>
      </c>
      <c r="S332" s="8" t="n">
        <f aca="false">IFERROR(Rohdaten!C332*100/Rohdaten!W332,"–")</f>
        <v>428.571428571429</v>
      </c>
      <c r="T332" s="8" t="n">
        <f aca="false">IFERROR(Rohdaten!C332*100/Rohdaten!X332,"–")</f>
        <v>45</v>
      </c>
      <c r="U332" s="8" t="n">
        <f aca="false">IFERROR(Rohdaten!C332*100/Rohdaten!Y332,"–")</f>
        <v>529.411764705882</v>
      </c>
      <c r="V332" s="8" t="n">
        <f aca="false">IFERROR(Rohdaten!C332*100/Rohdaten!Z332,"–")</f>
        <v>2.90322580645161</v>
      </c>
    </row>
    <row r="333" customFormat="false" ht="15" hidden="false" customHeight="true" outlineLevel="0" collapsed="false">
      <c r="A333" s="4" t="str">
        <f aca="false">Rohdaten!A333</f>
        <v>Kaninchen</v>
      </c>
      <c r="B333" s="8" t="n">
        <f aca="false">Rohdaten!C333</f>
        <v>3.5</v>
      </c>
      <c r="C333" s="8" t="n">
        <f aca="false">IFERROR(Rohdaten!C333*100/Rohdaten!G333,"–")</f>
        <v>2.02312138728324</v>
      </c>
      <c r="D333" s="8" t="n">
        <f aca="false">IFERROR(Rohdaten!C333*100/(Rohdaten!H333*9),"–")</f>
        <v>5.55555555555556</v>
      </c>
      <c r="E333" s="8" t="n">
        <f aca="false">IFERROR(Rohdaten!C333*100/(Rohdaten!I333*4),"–")</f>
        <v>3.5</v>
      </c>
      <c r="F333" s="8" t="str">
        <f aca="false">IFERROR(Rohdaten!C333*100/(Rohdaten!J333*4),"–")</f>
        <v>–</v>
      </c>
      <c r="G333" s="9" t="str">
        <f aca="false">IFERROR(Rohdaten!C333*100/Rohdaten!K333,"–")</f>
        <v>–</v>
      </c>
      <c r="H333" s="8" t="str">
        <f aca="false">IFERROR(Rohdaten!C333*100/Rohdaten!L333,"–")</f>
        <v>–</v>
      </c>
      <c r="I333" s="9" t="n">
        <f aca="false">IFERROR(Rohdaten!C333*100/Rohdaten!M333,"–")</f>
        <v>3500</v>
      </c>
      <c r="J333" s="8" t="n">
        <f aca="false">IFERROR(Rohdaten!C333*100/Rohdaten!N333,"–")</f>
        <v>875</v>
      </c>
      <c r="K333" s="9" t="str">
        <f aca="false">IFERROR(Rohdaten!C333*100/Rohdaten!O333,"–")</f>
        <v>–</v>
      </c>
      <c r="L333" s="8" t="n">
        <f aca="false">IFERROR(Rohdaten!C333*100/Rohdaten!P333,"–")</f>
        <v>4375</v>
      </c>
      <c r="M333" s="8" t="n">
        <f aca="false">IFERROR(Rohdaten!C333*100/Rohdaten!Q333,"–")</f>
        <v>3500</v>
      </c>
      <c r="N333" s="8" t="n">
        <f aca="false">IFERROR(Rohdaten!C333*100/Rohdaten!R333,"–")</f>
        <v>35</v>
      </c>
      <c r="O333" s="8" t="n">
        <f aca="false">IFERROR(Rohdaten!C333*100/Rohdaten!S333,"–")</f>
        <v>875</v>
      </c>
      <c r="P333" s="9" t="n">
        <f aca="false">IFERROR(Rohdaten!C333*100/Rohdaten!T333,"–")</f>
        <v>35</v>
      </c>
      <c r="Q333" s="9" t="n">
        <f aca="false">IFERROR(Rohdaten!C333*100/Rohdaten!U333,"–")</f>
        <v>77.7777777777778</v>
      </c>
      <c r="R333" s="8" t="n">
        <f aca="false">IFERROR(Rohdaten!C333*100/Rohdaten!V333,"–")</f>
        <v>17.5</v>
      </c>
      <c r="S333" s="8" t="n">
        <f aca="false">IFERROR(Rohdaten!C333*100/Rohdaten!W333,"–")</f>
        <v>218.75</v>
      </c>
      <c r="T333" s="8" t="n">
        <f aca="false">IFERROR(Rohdaten!C333*100/Rohdaten!X333,"–")</f>
        <v>14</v>
      </c>
      <c r="U333" s="8" t="n">
        <f aca="false">IFERROR(Rohdaten!C333*100/Rohdaten!Y333,"–")</f>
        <v>205.882352941176</v>
      </c>
      <c r="V333" s="8" t="n">
        <f aca="false">IFERROR(Rohdaten!C333*100/Rohdaten!Z333,"–")</f>
        <v>1</v>
      </c>
    </row>
    <row r="334" customFormat="false" ht="15" hidden="false" customHeight="true" outlineLevel="0" collapsed="false">
      <c r="A334" s="4" t="str">
        <f aca="false">Rohdaten!A334</f>
        <v>Wachtel</v>
      </c>
      <c r="B334" s="8" t="n">
        <f aca="false">Rohdaten!C334</f>
        <v>5</v>
      </c>
      <c r="C334" s="8" t="n">
        <f aca="false">IFERROR(Rohdaten!C334*100/Rohdaten!G334,"–")</f>
        <v>3.73134328358209</v>
      </c>
      <c r="D334" s="8" t="n">
        <f aca="false">IFERROR(Rohdaten!C334*100/(Rohdaten!H334*9),"–")</f>
        <v>12.3456790123457</v>
      </c>
      <c r="E334" s="8" t="n">
        <f aca="false">IFERROR(Rohdaten!C334*100/(Rohdaten!I334*4),"–")</f>
        <v>5.68181818181818</v>
      </c>
      <c r="F334" s="8" t="str">
        <f aca="false">IFERROR(Rohdaten!C334*100/(Rohdaten!J334*4),"–")</f>
        <v>–</v>
      </c>
      <c r="G334" s="9" t="n">
        <f aca="false">IFERROR(Rohdaten!C334*100/Rohdaten!K334,"–")</f>
        <v>12.5</v>
      </c>
      <c r="H334" s="8" t="str">
        <f aca="false">IFERROR(Rohdaten!C334*100/Rohdaten!L334,"–")</f>
        <v>–</v>
      </c>
      <c r="I334" s="9" t="str">
        <f aca="false">IFERROR(Rohdaten!C334*100/Rohdaten!M334,"–")</f>
        <v>–</v>
      </c>
      <c r="J334" s="8" t="n">
        <f aca="false">IFERROR(Rohdaten!C334*100/Rohdaten!N334,"–")</f>
        <v>1000</v>
      </c>
      <c r="K334" s="9" t="str">
        <f aca="false">IFERROR(Rohdaten!C334*100/Rohdaten!O334,"–")</f>
        <v>–</v>
      </c>
      <c r="L334" s="8" t="n">
        <f aca="false">IFERROR(Rohdaten!C334*100/Rohdaten!P334,"–")</f>
        <v>10000</v>
      </c>
      <c r="M334" s="8" t="n">
        <f aca="false">IFERROR(Rohdaten!C334*100/Rohdaten!Q334,"–")</f>
        <v>2500</v>
      </c>
      <c r="N334" s="8" t="n">
        <f aca="false">IFERROR(Rohdaten!C334*100/Rohdaten!R334,"–")</f>
        <v>71.4285714285714</v>
      </c>
      <c r="O334" s="8" t="n">
        <f aca="false">IFERROR(Rohdaten!C334*100/Rohdaten!S334,"–")</f>
        <v>1000</v>
      </c>
      <c r="P334" s="9" t="n">
        <f aca="false">IFERROR(Rohdaten!C334*100/Rohdaten!T334,"–")</f>
        <v>50</v>
      </c>
      <c r="Q334" s="9" t="n">
        <f aca="false">IFERROR(Rohdaten!C334*100/Rohdaten!U334,"–")</f>
        <v>1000</v>
      </c>
      <c r="R334" s="8" t="n">
        <f aca="false">IFERROR(Rohdaten!C334*100/Rohdaten!V334,"–")</f>
        <v>38.4615384615385</v>
      </c>
      <c r="S334" s="8" t="n">
        <f aca="false">IFERROR(Rohdaten!C334*100/Rohdaten!W334,"–")</f>
        <v>111.111111111111</v>
      </c>
      <c r="T334" s="8" t="n">
        <f aca="false">IFERROR(Rohdaten!C334*100/Rohdaten!X334,"–")</f>
        <v>22.7272727272727</v>
      </c>
      <c r="U334" s="8" t="n">
        <f aca="false">IFERROR(Rohdaten!C334*100/Rohdaten!Y334,"–")</f>
        <v>500</v>
      </c>
      <c r="V334" s="8" t="n">
        <f aca="false">IFERROR(Rohdaten!C334*100/Rohdaten!Z334,"–")</f>
        <v>2.08333333333333</v>
      </c>
    </row>
    <row r="335" customFormat="false" ht="15" hidden="false" customHeight="true" outlineLevel="0" collapsed="false">
      <c r="A335" s="4" t="str">
        <f aca="false">Rohdaten!A335</f>
        <v>Leber, Rind</v>
      </c>
      <c r="B335" s="8" t="n">
        <f aca="false">Rohdaten!C335</f>
        <v>3.5</v>
      </c>
      <c r="C335" s="8" t="n">
        <f aca="false">IFERROR(Rohdaten!C335*100/Rohdaten!G335,"–")</f>
        <v>2.59259259259259</v>
      </c>
      <c r="D335" s="8" t="n">
        <f aca="false">IFERROR(Rohdaten!C335*100/(Rohdaten!H335*9),"–")</f>
        <v>10.8024691358025</v>
      </c>
      <c r="E335" s="8" t="n">
        <f aca="false">IFERROR(Rohdaten!C335*100/(Rohdaten!I335*4),"–")</f>
        <v>4.375</v>
      </c>
      <c r="F335" s="8" t="n">
        <f aca="false">IFERROR(Rohdaten!C335*100/(Rohdaten!J335*4),"–")</f>
        <v>22.4358974358974</v>
      </c>
      <c r="G335" s="9" t="n">
        <f aca="false">IFERROR(Rohdaten!C335*100/Rohdaten!K335,"–")</f>
        <v>0.0207112846914019</v>
      </c>
      <c r="H335" s="8" t="n">
        <f aca="false">IFERROR(Rohdaten!C335*100/Rohdaten!L335,"–")</f>
        <v>269.230769230769</v>
      </c>
      <c r="I335" s="9" t="n">
        <f aca="false">IFERROR(Rohdaten!C335*100/Rohdaten!M335,"–")</f>
        <v>291.666666666667</v>
      </c>
      <c r="J335" s="8" t="n">
        <f aca="false">IFERROR(Rohdaten!C335*100/Rohdaten!N335,"–")</f>
        <v>875</v>
      </c>
      <c r="K335" s="9" t="n">
        <f aca="false">IFERROR(Rohdaten!C335*100/Rohdaten!O335,"–")</f>
        <v>116.666666666667</v>
      </c>
      <c r="L335" s="8" t="n">
        <f aca="false">IFERROR(Rohdaten!C335*100/Rohdaten!P335,"–")</f>
        <v>1842.10526315789</v>
      </c>
      <c r="M335" s="8" t="n">
        <f aca="false">IFERROR(Rohdaten!C335*100/Rohdaten!Q335,"–")</f>
        <v>125</v>
      </c>
      <c r="N335" s="8" t="n">
        <f aca="false">IFERROR(Rohdaten!C335*100/Rohdaten!R335,"–")</f>
        <v>26.9230769230769</v>
      </c>
      <c r="O335" s="8" t="n">
        <f aca="false">IFERROR(Rohdaten!C335*100/Rohdaten!S335,"–")</f>
        <v>388.888888888889</v>
      </c>
      <c r="P335" s="9" t="n">
        <f aca="false">IFERROR(Rohdaten!C335*100/Rohdaten!T335,"–")</f>
        <v>1.59090909090909</v>
      </c>
      <c r="Q335" s="9" t="n">
        <f aca="false">IFERROR(Rohdaten!C335*100/Rohdaten!U335,"–")</f>
        <v>5.93220338983051</v>
      </c>
      <c r="R335" s="8" t="n">
        <f aca="false">IFERROR(Rohdaten!C335*100/Rohdaten!V335,"–")</f>
        <v>70</v>
      </c>
      <c r="S335" s="8" t="n">
        <f aca="false">IFERROR(Rohdaten!C335*100/Rohdaten!W335,"–")</f>
        <v>71.4285714285714</v>
      </c>
      <c r="T335" s="8" t="n">
        <f aca="false">IFERROR(Rohdaten!C335*100/Rohdaten!X335,"–")</f>
        <v>19.4444444444444</v>
      </c>
      <c r="U335" s="8" t="n">
        <f aca="false">IFERROR(Rohdaten!C335*100/Rohdaten!Y335,"–")</f>
        <v>87.5</v>
      </c>
      <c r="V335" s="8" t="n">
        <f aca="false">IFERROR(Rohdaten!C335*100/Rohdaten!Z335,"–")</f>
        <v>1.11821086261981</v>
      </c>
    </row>
    <row r="336" customFormat="false" ht="15" hidden="false" customHeight="true" outlineLevel="0" collapsed="false">
      <c r="A336" s="4" t="str">
        <f aca="false">Rohdaten!A336</f>
        <v>Leber, Schwein</v>
      </c>
      <c r="B336" s="8" t="n">
        <f aca="false">Rohdaten!C336</f>
        <v>2</v>
      </c>
      <c r="C336" s="8" t="n">
        <f aca="false">IFERROR(Rohdaten!C336*100/Rohdaten!G336,"–")</f>
        <v>1.21212121212121</v>
      </c>
      <c r="D336" s="8" t="n">
        <f aca="false">IFERROR(Rohdaten!C336*100/(Rohdaten!H336*9),"–")</f>
        <v>4.62962962962963</v>
      </c>
      <c r="E336" s="8" t="n">
        <f aca="false">IFERROR(Rohdaten!C336*100/(Rohdaten!I336*4),"–")</f>
        <v>2.27272727272727</v>
      </c>
      <c r="F336" s="8" t="n">
        <f aca="false">IFERROR(Rohdaten!C336*100/(Rohdaten!J336*4),"–")</f>
        <v>20</v>
      </c>
      <c r="G336" s="9" t="n">
        <f aca="false">IFERROR(Rohdaten!C336*100/Rohdaten!K336,"–")</f>
        <v>0.0153846153846154</v>
      </c>
      <c r="H336" s="8" t="n">
        <f aca="false">IFERROR(Rohdaten!C336*100/Rohdaten!L336,"–")</f>
        <v>8.69565217391304</v>
      </c>
      <c r="I336" s="9" t="n">
        <f aca="false">IFERROR(Rohdaten!C336*100/Rohdaten!M336,"–")</f>
        <v>200</v>
      </c>
      <c r="J336" s="8" t="n">
        <f aca="false">IFERROR(Rohdaten!C336*100/Rohdaten!N336,"–")</f>
        <v>400</v>
      </c>
      <c r="K336" s="9" t="n">
        <f aca="false">IFERROR(Rohdaten!C336*100/Rohdaten!O336,"–")</f>
        <v>66.6666666666667</v>
      </c>
      <c r="L336" s="8" t="n">
        <f aca="false">IFERROR(Rohdaten!C336*100/Rohdaten!P336,"–")</f>
        <v>714.285714285714</v>
      </c>
      <c r="M336" s="8" t="n">
        <f aca="false">IFERROR(Rohdaten!C336*100/Rohdaten!Q336,"–")</f>
        <v>66.6666666666667</v>
      </c>
      <c r="N336" s="8" t="n">
        <f aca="false">IFERROR(Rohdaten!C336*100/Rohdaten!R336,"–")</f>
        <v>13.3333333333333</v>
      </c>
      <c r="O336" s="8" t="n">
        <f aca="false">IFERROR(Rohdaten!C336*100/Rohdaten!S336,"–")</f>
        <v>333.333333333333</v>
      </c>
      <c r="P336" s="9" t="n">
        <f aca="false">IFERROR(Rohdaten!C336*100/Rohdaten!T336,"–")</f>
        <v>0.947867298578199</v>
      </c>
      <c r="Q336" s="9" t="n">
        <f aca="false">IFERROR(Rohdaten!C336*100/Rohdaten!U336,"–")</f>
        <v>8</v>
      </c>
      <c r="R336" s="8" t="n">
        <f aca="false">IFERROR(Rohdaten!C336*100/Rohdaten!V336,"–")</f>
        <v>22.2222222222222</v>
      </c>
      <c r="S336" s="8" t="n">
        <f aca="false">IFERROR(Rohdaten!C336*100/Rohdaten!W336,"–")</f>
        <v>11.7647058823529</v>
      </c>
      <c r="T336" s="8" t="n">
        <f aca="false">IFERROR(Rohdaten!C336*100/Rohdaten!X336,"–")</f>
        <v>9.52380952380952</v>
      </c>
      <c r="U336" s="8" t="n">
        <f aca="false">IFERROR(Rohdaten!C336*100/Rohdaten!Y336,"–")</f>
        <v>30.7692307692308</v>
      </c>
      <c r="V336" s="8" t="n">
        <f aca="false">IFERROR(Rohdaten!C336*100/Rohdaten!Z336,"–")</f>
        <v>0.666666666666667</v>
      </c>
    </row>
    <row r="337" customFormat="false" ht="15" hidden="false" customHeight="true" outlineLevel="0" collapsed="false">
      <c r="A337" s="4" t="str">
        <f aca="false">Rohdaten!A337</f>
        <v>Leber, Huhn/Geflügel</v>
      </c>
      <c r="B337" s="8" t="n">
        <f aca="false">Rohdaten!C337</f>
        <v>2</v>
      </c>
      <c r="C337" s="8" t="n">
        <f aca="false">IFERROR(Rohdaten!C337*100/Rohdaten!G337,"–")</f>
        <v>1.68067226890756</v>
      </c>
      <c r="D337" s="8" t="n">
        <f aca="false">IFERROR(Rohdaten!C337*100/(Rohdaten!H337*9),"–")</f>
        <v>4.62962962962963</v>
      </c>
      <c r="E337" s="8" t="n">
        <f aca="false">IFERROR(Rohdaten!C337*100/(Rohdaten!I337*4),"–")</f>
        <v>2.94117647058824</v>
      </c>
      <c r="F337" s="8" t="n">
        <f aca="false">IFERROR(Rohdaten!C337*100/(Rohdaten!J337*4),"–")</f>
        <v>71.4285714285714</v>
      </c>
      <c r="G337" s="9" t="n">
        <f aca="false">IFERROR(Rohdaten!C337*100/Rohdaten!K337,"–")</f>
        <v>0.0180538003249684</v>
      </c>
      <c r="H337" s="8" t="n">
        <f aca="false">IFERROR(Rohdaten!C337*100/Rohdaten!L337,"–")</f>
        <v>11.7647058823529</v>
      </c>
      <c r="I337" s="9" t="n">
        <f aca="false">IFERROR(Rohdaten!C337*100/Rohdaten!M337,"–")</f>
        <v>285.714285714286</v>
      </c>
      <c r="J337" s="8" t="n">
        <f aca="false">IFERROR(Rohdaten!C337*100/Rohdaten!N337,"–")</f>
        <v>333.333333333333</v>
      </c>
      <c r="K337" s="9" t="str">
        <f aca="false">IFERROR(Rohdaten!C337*100/Rohdaten!O337,"–")</f>
        <v>–</v>
      </c>
      <c r="L337" s="8" t="n">
        <f aca="false">IFERROR(Rohdaten!C337*100/Rohdaten!P337,"–")</f>
        <v>666.666666666667</v>
      </c>
      <c r="M337" s="8" t="n">
        <f aca="false">IFERROR(Rohdaten!C337*100/Rohdaten!Q337,"–")</f>
        <v>117.647058823529</v>
      </c>
      <c r="N337" s="8" t="n">
        <f aca="false">IFERROR(Rohdaten!C337*100/Rohdaten!R337,"–")</f>
        <v>16.6666666666667</v>
      </c>
      <c r="O337" s="8" t="n">
        <f aca="false">IFERROR(Rohdaten!C337*100/Rohdaten!S337,"–")</f>
        <v>222.222222222222</v>
      </c>
      <c r="P337" s="9" t="n">
        <f aca="false">IFERROR(Rohdaten!C337*100/Rohdaten!T337,"–")</f>
        <v>0.340136054421769</v>
      </c>
      <c r="Q337" s="9" t="n">
        <f aca="false">IFERROR(Rohdaten!C337*100/Rohdaten!U337,"–")</f>
        <v>11.7647058823529</v>
      </c>
      <c r="R337" s="8" t="n">
        <f aca="false">IFERROR(Rohdaten!C337*100/Rohdaten!V337,"–")</f>
        <v>18.1818181818182</v>
      </c>
      <c r="S337" s="8" t="n">
        <f aca="false">IFERROR(Rohdaten!C337*100/Rohdaten!W337,"–")</f>
        <v>23.5294117647059</v>
      </c>
      <c r="T337" s="8" t="n">
        <f aca="false">IFERROR(Rohdaten!C337*100/Rohdaten!X337,"–")</f>
        <v>11.7647058823529</v>
      </c>
      <c r="U337" s="8" t="n">
        <f aca="false">IFERROR(Rohdaten!C337*100/Rohdaten!Y337,"–")</f>
        <v>74.0740740740741</v>
      </c>
      <c r="V337" s="8" t="n">
        <f aca="false">IFERROR(Rohdaten!C337*100/Rohdaten!Z337,"–")</f>
        <v>0.900900900900901</v>
      </c>
    </row>
    <row r="338" customFormat="false" ht="15" hidden="false" customHeight="true" outlineLevel="0" collapsed="false">
      <c r="A338" s="4" t="str">
        <f aca="false">Rohdaten!A338</f>
        <v>Niere, Rind/Schwein</v>
      </c>
      <c r="B338" s="8" t="n">
        <f aca="false">Rohdaten!C338</f>
        <v>1.8</v>
      </c>
      <c r="C338" s="8" t="n">
        <f aca="false">IFERROR(Rohdaten!C338*100/Rohdaten!G338,"–")</f>
        <v>1.81818181818182</v>
      </c>
      <c r="D338" s="8" t="n">
        <f aca="false">IFERROR(Rohdaten!C338*100/(Rohdaten!H338*9),"–")</f>
        <v>6.45161290322581</v>
      </c>
      <c r="E338" s="8" t="n">
        <f aca="false">IFERROR(Rohdaten!C338*100/(Rohdaten!I338*4),"–")</f>
        <v>2.64705882352941</v>
      </c>
      <c r="F338" s="8" t="str">
        <f aca="false">IFERROR(Rohdaten!C338*100/(Rohdaten!J338*4),"–")</f>
        <v>–</v>
      </c>
      <c r="G338" s="9" t="n">
        <f aca="false">IFERROR(Rohdaten!C338*100/Rohdaten!K338,"–")</f>
        <v>0.257142857142857</v>
      </c>
      <c r="H338" s="8" t="n">
        <f aca="false">IFERROR(Rohdaten!C338*100/Rohdaten!L338,"–")</f>
        <v>18</v>
      </c>
      <c r="I338" s="9" t="str">
        <f aca="false">IFERROR(Rohdaten!C338*100/Rohdaten!M338,"–")</f>
        <v>–</v>
      </c>
      <c r="J338" s="8" t="n">
        <f aca="false">IFERROR(Rohdaten!C338*100/Rohdaten!N338,"–")</f>
        <v>450</v>
      </c>
      <c r="K338" s="9" t="str">
        <f aca="false">IFERROR(Rohdaten!C338*100/Rohdaten!O338,"–")</f>
        <v>–</v>
      </c>
      <c r="L338" s="8" t="n">
        <f aca="false">IFERROR(Rohdaten!C338*100/Rohdaten!P338,"–")</f>
        <v>600</v>
      </c>
      <c r="M338" s="8" t="n">
        <f aca="false">IFERROR(Rohdaten!C338*100/Rohdaten!Q338,"–")</f>
        <v>94.7368421052632</v>
      </c>
      <c r="N338" s="8" t="n">
        <f aca="false">IFERROR(Rohdaten!C338*100/Rohdaten!R338,"–")</f>
        <v>25.7142857142857</v>
      </c>
      <c r="O338" s="8" t="n">
        <f aca="false">IFERROR(Rohdaten!C338*100/Rohdaten!S338,"–")</f>
        <v>360</v>
      </c>
      <c r="P338" s="9" t="n">
        <f aca="false">IFERROR(Rohdaten!C338*100/Rohdaten!T338,"–")</f>
        <v>2.25</v>
      </c>
      <c r="Q338" s="9" t="n">
        <f aca="false">IFERROR(Rohdaten!C338*100/Rohdaten!U338,"–")</f>
        <v>4</v>
      </c>
      <c r="R338" s="8" t="n">
        <f aca="false">IFERROR(Rohdaten!C338*100/Rohdaten!V338,"–")</f>
        <v>15</v>
      </c>
      <c r="S338" s="8" t="n">
        <f aca="false">IFERROR(Rohdaten!C338*100/Rohdaten!W338,"–")</f>
        <v>45</v>
      </c>
      <c r="T338" s="8" t="n">
        <f aca="false">IFERROR(Rohdaten!C338*100/Rohdaten!X338,"–")</f>
        <v>12</v>
      </c>
      <c r="U338" s="8" t="n">
        <f aca="false">IFERROR(Rohdaten!C338*100/Rohdaten!Y338,"–")</f>
        <v>72</v>
      </c>
      <c r="V338" s="8" t="n">
        <f aca="false">IFERROR(Rohdaten!C338*100/Rohdaten!Z338,"–")</f>
        <v>0.9</v>
      </c>
    </row>
    <row r="339" customFormat="false" ht="15" hidden="false" customHeight="true" outlineLevel="0" collapsed="false">
      <c r="A339" s="4" t="str">
        <f aca="false">Rohdaten!A339</f>
        <v>Herz, Rind/Schwein</v>
      </c>
      <c r="B339" s="8" t="n">
        <f aca="false">Rohdaten!C339</f>
        <v>2</v>
      </c>
      <c r="C339" s="8" t="n">
        <f aca="false">IFERROR(Rohdaten!C339*100/Rohdaten!G339,"–")</f>
        <v>1.78571428571429</v>
      </c>
      <c r="D339" s="8" t="n">
        <f aca="false">IFERROR(Rohdaten!C339*100/(Rohdaten!H339*9),"–")</f>
        <v>6.34920634920635</v>
      </c>
      <c r="E339" s="8" t="n">
        <f aca="false">IFERROR(Rohdaten!C339*100/(Rohdaten!I339*4),"–")</f>
        <v>2.94117647058824</v>
      </c>
      <c r="F339" s="8" t="n">
        <f aca="false">IFERROR(Rohdaten!C339*100/(Rohdaten!J339*4),"–")</f>
        <v>500</v>
      </c>
      <c r="G339" s="9" t="n">
        <f aca="false">IFERROR(Rohdaten!C339*100/Rohdaten!K339,"–")</f>
        <v>10</v>
      </c>
      <c r="H339" s="8" t="n">
        <f aca="false">IFERROR(Rohdaten!C339*100/Rohdaten!L339,"–")</f>
        <v>50</v>
      </c>
      <c r="I339" s="9" t="str">
        <f aca="false">IFERROR(Rohdaten!C339*100/Rohdaten!M339,"–")</f>
        <v>–</v>
      </c>
      <c r="J339" s="8" t="n">
        <f aca="false">IFERROR(Rohdaten!C339*100/Rohdaten!N339,"–")</f>
        <v>400</v>
      </c>
      <c r="K339" s="9" t="str">
        <f aca="false">IFERROR(Rohdaten!C339*100/Rohdaten!O339,"–")</f>
        <v>–</v>
      </c>
      <c r="L339" s="8" t="n">
        <f aca="false">IFERROR(Rohdaten!C339*100/Rohdaten!P339,"–")</f>
        <v>666.666666666667</v>
      </c>
      <c r="M339" s="8" t="n">
        <f aca="false">IFERROR(Rohdaten!C339*100/Rohdaten!Q339,"–")</f>
        <v>222.222222222222</v>
      </c>
      <c r="N339" s="8" t="n">
        <f aca="false">IFERROR(Rohdaten!C339*100/Rohdaten!R339,"–")</f>
        <v>26.6666666666667</v>
      </c>
      <c r="O339" s="8" t="n">
        <f aca="false">IFERROR(Rohdaten!C339*100/Rohdaten!S339,"–")</f>
        <v>666.666666666667</v>
      </c>
      <c r="P339" s="9" t="n">
        <f aca="false">IFERROR(Rohdaten!C339*100/Rohdaten!T339,"–")</f>
        <v>66.6666666666667</v>
      </c>
      <c r="Q339" s="9" t="n">
        <f aca="false">IFERROR(Rohdaten!C339*100/Rohdaten!U339,"–")</f>
        <v>26.6666666666667</v>
      </c>
      <c r="R339" s="8" t="n">
        <f aca="false">IFERROR(Rohdaten!C339*100/Rohdaten!V339,"–")</f>
        <v>40</v>
      </c>
      <c r="S339" s="8" t="n">
        <f aca="false">IFERROR(Rohdaten!C339*100/Rohdaten!W339,"–")</f>
        <v>44.4444444444444</v>
      </c>
      <c r="T339" s="8" t="n">
        <f aca="false">IFERROR(Rohdaten!C339*100/Rohdaten!X339,"–")</f>
        <v>10</v>
      </c>
      <c r="U339" s="8" t="n">
        <f aca="false">IFERROR(Rohdaten!C339*100/Rohdaten!Y339,"–")</f>
        <v>100</v>
      </c>
      <c r="V339" s="8" t="n">
        <f aca="false">IFERROR(Rohdaten!C339*100/Rohdaten!Z339,"–")</f>
        <v>0.833333333333333</v>
      </c>
    </row>
    <row r="340" customFormat="false" ht="15" hidden="false" customHeight="true" outlineLevel="0" collapsed="false">
      <c r="A340" s="4" t="str">
        <f aca="false">Rohdaten!A340</f>
        <v>Zunge, Rind</v>
      </c>
      <c r="B340" s="8" t="n">
        <f aca="false">Rohdaten!C340</f>
        <v>5</v>
      </c>
      <c r="C340" s="8" t="n">
        <f aca="false">IFERROR(Rohdaten!C340*100/Rohdaten!G340,"–")</f>
        <v>2.23214285714286</v>
      </c>
      <c r="D340" s="8" t="n">
        <f aca="false">IFERROR(Rohdaten!C340*100/(Rohdaten!H340*9),"–")</f>
        <v>3.26797385620915</v>
      </c>
      <c r="E340" s="8" t="n">
        <f aca="false">IFERROR(Rohdaten!C340*100/(Rohdaten!I340*4),"–")</f>
        <v>7.8125</v>
      </c>
      <c r="F340" s="8" t="str">
        <f aca="false">IFERROR(Rohdaten!C340*100/(Rohdaten!J340*4),"–")</f>
        <v>–</v>
      </c>
      <c r="G340" s="9" t="str">
        <f aca="false">IFERROR(Rohdaten!C340*100/Rohdaten!K340,"–")</f>
        <v>–</v>
      </c>
      <c r="H340" s="8" t="n">
        <f aca="false">IFERROR(Rohdaten!C340*100/Rohdaten!L340,"–")</f>
        <v>500</v>
      </c>
      <c r="I340" s="9" t="str">
        <f aca="false">IFERROR(Rohdaten!C340*100/Rohdaten!M340,"–")</f>
        <v>–</v>
      </c>
      <c r="J340" s="8" t="n">
        <f aca="false">IFERROR(Rohdaten!C340*100/Rohdaten!N340,"–")</f>
        <v>1250</v>
      </c>
      <c r="K340" s="9" t="str">
        <f aca="false">IFERROR(Rohdaten!C340*100/Rohdaten!O340,"–")</f>
        <v>–</v>
      </c>
      <c r="L340" s="8" t="n">
        <f aca="false">IFERROR(Rohdaten!C340*100/Rohdaten!P340,"–")</f>
        <v>10000</v>
      </c>
      <c r="M340" s="8" t="n">
        <f aca="false">IFERROR(Rohdaten!C340*100/Rohdaten!Q340,"–")</f>
        <v>2000</v>
      </c>
      <c r="N340" s="8" t="n">
        <f aca="false">IFERROR(Rohdaten!C340*100/Rohdaten!R340,"–")</f>
        <v>166.666666666667</v>
      </c>
      <c r="O340" s="8" t="n">
        <f aca="false">IFERROR(Rohdaten!C340*100/Rohdaten!S340,"–")</f>
        <v>2500</v>
      </c>
      <c r="P340" s="9" t="n">
        <f aca="false">IFERROR(Rohdaten!C340*100/Rohdaten!T340,"–")</f>
        <v>100</v>
      </c>
      <c r="Q340" s="9" t="n">
        <f aca="false">IFERROR(Rohdaten!C340*100/Rohdaten!U340,"–")</f>
        <v>200</v>
      </c>
      <c r="R340" s="8" t="n">
        <f aca="false">IFERROR(Rohdaten!C340*100/Rohdaten!V340,"–")</f>
        <v>62.5</v>
      </c>
      <c r="S340" s="8" t="n">
        <f aca="false">IFERROR(Rohdaten!C340*100/Rohdaten!W340,"–")</f>
        <v>200</v>
      </c>
      <c r="T340" s="8" t="n">
        <f aca="false">IFERROR(Rohdaten!C340*100/Rohdaten!X340,"–")</f>
        <v>33.3333333333333</v>
      </c>
      <c r="U340" s="8" t="n">
        <f aca="false">IFERROR(Rohdaten!C340*100/Rohdaten!Y340,"–")</f>
        <v>125</v>
      </c>
      <c r="V340" s="8" t="n">
        <f aca="false">IFERROR(Rohdaten!C340*100/Rohdaten!Z340,"–")</f>
        <v>2.77777777777778</v>
      </c>
    </row>
    <row r="341" customFormat="false" ht="15" hidden="false" customHeight="true" outlineLevel="0" collapsed="false">
      <c r="A341" s="4" t="str">
        <f aca="false">Rohdaten!A341</f>
        <v>Speck/Bacon</v>
      </c>
      <c r="B341" s="8" t="n">
        <f aca="false">Rohdaten!C341</f>
        <v>5</v>
      </c>
      <c r="C341" s="8" t="n">
        <f aca="false">IFERROR(Rohdaten!C341*100/Rohdaten!G341,"–")</f>
        <v>0.924214417744917</v>
      </c>
      <c r="D341" s="8" t="n">
        <f aca="false">IFERROR(Rohdaten!C341*100/(Rohdaten!H341*9),"–")</f>
        <v>1.32275132275132</v>
      </c>
      <c r="E341" s="8" t="n">
        <f aca="false">IFERROR(Rohdaten!C341*100/(Rohdaten!I341*4),"–")</f>
        <v>3.37837837837838</v>
      </c>
      <c r="F341" s="8" t="n">
        <f aca="false">IFERROR(Rohdaten!C341*100/(Rohdaten!J341*4),"–")</f>
        <v>89.2857142857143</v>
      </c>
      <c r="G341" s="9" t="str">
        <f aca="false">IFERROR(Rohdaten!C341*100/Rohdaten!K341,"–")</f>
        <v>–</v>
      </c>
      <c r="H341" s="8" t="str">
        <f aca="false">IFERROR(Rohdaten!C341*100/Rohdaten!L341,"–")</f>
        <v>–</v>
      </c>
      <c r="I341" s="9" t="n">
        <f aca="false">IFERROR(Rohdaten!C341*100/Rohdaten!M341,"–")</f>
        <v>1000</v>
      </c>
      <c r="J341" s="8" t="n">
        <f aca="false">IFERROR(Rohdaten!C341*100/Rohdaten!N341,"–")</f>
        <v>1666.66666666667</v>
      </c>
      <c r="K341" s="9" t="str">
        <f aca="false">IFERROR(Rohdaten!C341*100/Rohdaten!O341,"–")</f>
        <v>–</v>
      </c>
      <c r="L341" s="8" t="n">
        <f aca="false">IFERROR(Rohdaten!C341*100/Rohdaten!P341,"–")</f>
        <v>833.333333333333</v>
      </c>
      <c r="M341" s="8" t="n">
        <f aca="false">IFERROR(Rohdaten!C341*100/Rohdaten!Q341,"–")</f>
        <v>2500</v>
      </c>
      <c r="N341" s="8" t="n">
        <f aca="false">IFERROR(Rohdaten!C341*100/Rohdaten!R341,"–")</f>
        <v>100</v>
      </c>
      <c r="O341" s="8" t="n">
        <f aca="false">IFERROR(Rohdaten!C341*100/Rohdaten!S341,"–")</f>
        <v>1428.57142857143</v>
      </c>
      <c r="P341" s="9" t="n">
        <f aca="false">IFERROR(Rohdaten!C341*100/Rohdaten!T341,"–")</f>
        <v>166.666666666667</v>
      </c>
      <c r="Q341" s="9" t="n">
        <f aca="false">IFERROR(Rohdaten!C341*100/Rohdaten!U341,"–")</f>
        <v>714.285714285714</v>
      </c>
      <c r="R341" s="8" t="n">
        <f aca="false">IFERROR(Rohdaten!C341*100/Rohdaten!V341,"–")</f>
        <v>50</v>
      </c>
      <c r="S341" s="8" t="n">
        <f aca="false">IFERROR(Rohdaten!C341*100/Rohdaten!W341,"–")</f>
        <v>500</v>
      </c>
      <c r="T341" s="8" t="n">
        <f aca="false">IFERROR(Rohdaten!C341*100/Rohdaten!X341,"–")</f>
        <v>25</v>
      </c>
      <c r="U341" s="8" t="n">
        <f aca="false">IFERROR(Rohdaten!C341*100/Rohdaten!Y341,"–")</f>
        <v>250</v>
      </c>
      <c r="V341" s="8" t="n">
        <f aca="false">IFERROR(Rohdaten!C341*100/Rohdaten!Z341,"–")</f>
        <v>1.78571428571429</v>
      </c>
    </row>
    <row r="342" customFormat="false" ht="15" hidden="false" customHeight="true" outlineLevel="0" collapsed="false">
      <c r="A342" s="4" t="str">
        <f aca="false">Rohdaten!A342</f>
        <v>Schinken, roh (Parma-Art)</v>
      </c>
      <c r="B342" s="8" t="n">
        <f aca="false">Rohdaten!C342</f>
        <v>5.5</v>
      </c>
      <c r="C342" s="8" t="n">
        <f aca="false">IFERROR(Rohdaten!C342*100/Rohdaten!G342,"–")</f>
        <v>2.05223880597015</v>
      </c>
      <c r="D342" s="8" t="n">
        <f aca="false">IFERROR(Rohdaten!C342*100/(Rohdaten!H342*9),"–")</f>
        <v>3.59477124183007</v>
      </c>
      <c r="E342" s="8" t="n">
        <f aca="false">IFERROR(Rohdaten!C342*100/(Rohdaten!I342*4),"–")</f>
        <v>5.28846153846154</v>
      </c>
      <c r="F342" s="8" t="str">
        <f aca="false">IFERROR(Rohdaten!C342*100/(Rohdaten!J342*4),"–")</f>
        <v>–</v>
      </c>
      <c r="G342" s="9" t="str">
        <f aca="false">IFERROR(Rohdaten!C342*100/Rohdaten!K342,"–")</f>
        <v>–</v>
      </c>
      <c r="H342" s="8" t="str">
        <f aca="false">IFERROR(Rohdaten!C342*100/Rohdaten!L342,"–")</f>
        <v>–</v>
      </c>
      <c r="I342" s="9" t="n">
        <f aca="false">IFERROR(Rohdaten!C342*100/Rohdaten!M342,"–")</f>
        <v>1100</v>
      </c>
      <c r="J342" s="8" t="n">
        <f aca="false">IFERROR(Rohdaten!C342*100/Rohdaten!N342,"–")</f>
        <v>1833.33333333333</v>
      </c>
      <c r="K342" s="9" t="str">
        <f aca="false">IFERROR(Rohdaten!C342*100/Rohdaten!O342,"–")</f>
        <v>–</v>
      </c>
      <c r="L342" s="8" t="n">
        <f aca="false">IFERROR(Rohdaten!C342*100/Rohdaten!P342,"–")</f>
        <v>916.666666666667</v>
      </c>
      <c r="M342" s="8" t="n">
        <f aca="false">IFERROR(Rohdaten!C342*100/Rohdaten!Q342,"–")</f>
        <v>2750</v>
      </c>
      <c r="N342" s="8" t="n">
        <f aca="false">IFERROR(Rohdaten!C342*100/Rohdaten!R342,"–")</f>
        <v>110</v>
      </c>
      <c r="O342" s="8" t="n">
        <f aca="false">IFERROR(Rohdaten!C342*100/Rohdaten!S342,"–")</f>
        <v>1571.42857142857</v>
      </c>
      <c r="P342" s="9" t="n">
        <f aca="false">IFERROR(Rohdaten!C342*100/Rohdaten!T342,"–")</f>
        <v>110</v>
      </c>
      <c r="Q342" s="9" t="n">
        <f aca="false">IFERROR(Rohdaten!C342*100/Rohdaten!U342,"–")</f>
        <v>687.5</v>
      </c>
      <c r="R342" s="8" t="n">
        <f aca="false">IFERROR(Rohdaten!C342*100/Rohdaten!V342,"–")</f>
        <v>55</v>
      </c>
      <c r="S342" s="8" t="n">
        <f aca="false">IFERROR(Rohdaten!C342*100/Rohdaten!W342,"–")</f>
        <v>500</v>
      </c>
      <c r="T342" s="8" t="n">
        <f aca="false">IFERROR(Rohdaten!C342*100/Rohdaten!X342,"–")</f>
        <v>25</v>
      </c>
      <c r="U342" s="8" t="n">
        <f aca="false">IFERROR(Rohdaten!C342*100/Rohdaten!Y342,"–")</f>
        <v>250</v>
      </c>
      <c r="V342" s="8" t="n">
        <f aca="false">IFERROR(Rohdaten!C342*100/Rohdaten!Z342,"–")</f>
        <v>1.57142857142857</v>
      </c>
    </row>
    <row r="343" customFormat="false" ht="15" hidden="false" customHeight="true" outlineLevel="0" collapsed="false">
      <c r="A343" s="4" t="str">
        <f aca="false">Rohdaten!A343</f>
        <v>Schinken, gekocht</v>
      </c>
      <c r="B343" s="8" t="n">
        <f aca="false">Rohdaten!C343</f>
        <v>4</v>
      </c>
      <c r="C343" s="8" t="n">
        <f aca="false">IFERROR(Rohdaten!C343*100/Rohdaten!G343,"–")</f>
        <v>2.75862068965517</v>
      </c>
      <c r="D343" s="8" t="n">
        <f aca="false">IFERROR(Rohdaten!C343*100/(Rohdaten!H343*9),"–")</f>
        <v>8.88888888888889</v>
      </c>
      <c r="E343" s="8" t="n">
        <f aca="false">IFERROR(Rohdaten!C343*100/(Rohdaten!I343*4),"–")</f>
        <v>4.76190476190476</v>
      </c>
      <c r="F343" s="8" t="n">
        <f aca="false">IFERROR(Rohdaten!C343*100/(Rohdaten!J343*4),"–")</f>
        <v>100</v>
      </c>
      <c r="G343" s="9" t="str">
        <f aca="false">IFERROR(Rohdaten!C343*100/Rohdaten!K343,"–")</f>
        <v>–</v>
      </c>
      <c r="H343" s="8" t="str">
        <f aca="false">IFERROR(Rohdaten!C343*100/Rohdaten!L343,"–")</f>
        <v>–</v>
      </c>
      <c r="I343" s="9" t="n">
        <f aca="false">IFERROR(Rohdaten!C343*100/Rohdaten!M343,"–")</f>
        <v>1333.33333333333</v>
      </c>
      <c r="J343" s="8" t="n">
        <f aca="false">IFERROR(Rohdaten!C343*100/Rohdaten!N343,"–")</f>
        <v>1333.33333333333</v>
      </c>
      <c r="K343" s="9" t="str">
        <f aca="false">IFERROR(Rohdaten!C343*100/Rohdaten!O343,"–")</f>
        <v>–</v>
      </c>
      <c r="L343" s="8" t="n">
        <f aca="false">IFERROR(Rohdaten!C343*100/Rohdaten!P343,"–")</f>
        <v>666.666666666667</v>
      </c>
      <c r="M343" s="8" t="n">
        <f aca="false">IFERROR(Rohdaten!C343*100/Rohdaten!Q343,"–")</f>
        <v>2000</v>
      </c>
      <c r="N343" s="8" t="n">
        <f aca="false">IFERROR(Rohdaten!C343*100/Rohdaten!R343,"–")</f>
        <v>80</v>
      </c>
      <c r="O343" s="8" t="n">
        <f aca="false">IFERROR(Rohdaten!C343*100/Rohdaten!S343,"–")</f>
        <v>1142.85714285714</v>
      </c>
      <c r="P343" s="9" t="n">
        <f aca="false">IFERROR(Rohdaten!C343*100/Rohdaten!T343,"–")</f>
        <v>133.333333333333</v>
      </c>
      <c r="Q343" s="9" t="n">
        <f aca="false">IFERROR(Rohdaten!C343*100/Rohdaten!U343,"–")</f>
        <v>666.666666666667</v>
      </c>
      <c r="R343" s="8" t="n">
        <f aca="false">IFERROR(Rohdaten!C343*100/Rohdaten!V343,"–")</f>
        <v>50</v>
      </c>
      <c r="S343" s="8" t="n">
        <f aca="false">IFERROR(Rohdaten!C343*100/Rohdaten!W343,"–")</f>
        <v>500</v>
      </c>
      <c r="T343" s="8" t="n">
        <f aca="false">IFERROR(Rohdaten!C343*100/Rohdaten!X343,"–")</f>
        <v>22.2222222222222</v>
      </c>
      <c r="U343" s="8" t="n">
        <f aca="false">IFERROR(Rohdaten!C343*100/Rohdaten!Y343,"–")</f>
        <v>222.222222222222</v>
      </c>
      <c r="V343" s="8" t="n">
        <f aca="false">IFERROR(Rohdaten!C343*100/Rohdaten!Z343,"–")</f>
        <v>1.33333333333333</v>
      </c>
    </row>
    <row r="344" customFormat="false" ht="15" hidden="false" customHeight="true" outlineLevel="0" collapsed="false">
      <c r="A344" s="4" t="str">
        <f aca="false">Rohdaten!A344</f>
        <v>Salami</v>
      </c>
      <c r="B344" s="8" t="n">
        <f aca="false">Rohdaten!C344</f>
        <v>6</v>
      </c>
      <c r="C344" s="8" t="n">
        <f aca="false">IFERROR(Rohdaten!C344*100/Rohdaten!G344,"–")</f>
        <v>1.47420147420147</v>
      </c>
      <c r="D344" s="8" t="n">
        <f aca="false">IFERROR(Rohdaten!C344*100/(Rohdaten!H344*9),"–")</f>
        <v>1.9047619047619</v>
      </c>
      <c r="E344" s="8" t="n">
        <f aca="false">IFERROR(Rohdaten!C344*100/(Rohdaten!I344*4),"–")</f>
        <v>6.81818181818182</v>
      </c>
      <c r="F344" s="8" t="n">
        <f aca="false">IFERROR(Rohdaten!C344*100/(Rohdaten!J344*4),"–")</f>
        <v>93.75</v>
      </c>
      <c r="G344" s="9" t="str">
        <f aca="false">IFERROR(Rohdaten!C344*100/Rohdaten!K344,"–")</f>
        <v>–</v>
      </c>
      <c r="H344" s="8" t="str">
        <f aca="false">IFERROR(Rohdaten!C344*100/Rohdaten!L344,"–")</f>
        <v>–</v>
      </c>
      <c r="I344" s="9" t="n">
        <f aca="false">IFERROR(Rohdaten!C344*100/Rohdaten!M344,"–")</f>
        <v>2000</v>
      </c>
      <c r="J344" s="8" t="n">
        <f aca="false">IFERROR(Rohdaten!C344*100/Rohdaten!N344,"–")</f>
        <v>2000</v>
      </c>
      <c r="K344" s="9" t="str">
        <f aca="false">IFERROR(Rohdaten!C344*100/Rohdaten!O344,"–")</f>
        <v>–</v>
      </c>
      <c r="L344" s="8" t="n">
        <f aca="false">IFERROR(Rohdaten!C344*100/Rohdaten!P344,"–")</f>
        <v>2000</v>
      </c>
      <c r="M344" s="8" t="n">
        <f aca="false">IFERROR(Rohdaten!C344*100/Rohdaten!Q344,"–")</f>
        <v>3000</v>
      </c>
      <c r="N344" s="8" t="n">
        <f aca="false">IFERROR(Rohdaten!C344*100/Rohdaten!R344,"–")</f>
        <v>150</v>
      </c>
      <c r="O344" s="8" t="n">
        <f aca="false">IFERROR(Rohdaten!C344*100/Rohdaten!S344,"–")</f>
        <v>2000</v>
      </c>
      <c r="P344" s="9" t="n">
        <f aca="false">IFERROR(Rohdaten!C344*100/Rohdaten!T344,"–")</f>
        <v>200</v>
      </c>
      <c r="Q344" s="9" t="n">
        <f aca="false">IFERROR(Rohdaten!C344*100/Rohdaten!U344,"–")</f>
        <v>750</v>
      </c>
      <c r="R344" s="8" t="n">
        <f aca="false">IFERROR(Rohdaten!C344*100/Rohdaten!V344,"–")</f>
        <v>40</v>
      </c>
      <c r="S344" s="8" t="n">
        <f aca="false">IFERROR(Rohdaten!C344*100/Rohdaten!W344,"–")</f>
        <v>400</v>
      </c>
      <c r="T344" s="8" t="n">
        <f aca="false">IFERROR(Rohdaten!C344*100/Rohdaten!X344,"–")</f>
        <v>30</v>
      </c>
      <c r="U344" s="8" t="n">
        <f aca="false">IFERROR(Rohdaten!C344*100/Rohdaten!Y344,"–")</f>
        <v>240</v>
      </c>
      <c r="V344" s="8" t="n">
        <f aca="false">IFERROR(Rohdaten!C344*100/Rohdaten!Z344,"–")</f>
        <v>2.14285714285714</v>
      </c>
    </row>
    <row r="345" customFormat="false" ht="15" hidden="false" customHeight="true" outlineLevel="0" collapsed="false">
      <c r="A345" s="4" t="str">
        <f aca="false">Rohdaten!A345</f>
        <v>Leberwurst</v>
      </c>
      <c r="B345" s="8" t="n">
        <f aca="false">Rohdaten!C345</f>
        <v>3</v>
      </c>
      <c r="C345" s="8" t="n">
        <f aca="false">IFERROR(Rohdaten!C345*100/Rohdaten!G345,"–")</f>
        <v>0.920245398773006</v>
      </c>
      <c r="D345" s="8" t="n">
        <f aca="false">IFERROR(Rohdaten!C345*100/(Rohdaten!H345*9),"–")</f>
        <v>1.04166666666667</v>
      </c>
      <c r="E345" s="8" t="n">
        <f aca="false">IFERROR(Rohdaten!C345*100/(Rohdaten!I345*4),"–")</f>
        <v>6.81818181818182</v>
      </c>
      <c r="F345" s="8" t="n">
        <f aca="false">IFERROR(Rohdaten!C345*100/(Rohdaten!J345*4),"–")</f>
        <v>50</v>
      </c>
      <c r="G345" s="9" t="n">
        <f aca="false">IFERROR(Rohdaten!C345*100/Rohdaten!K345,"–")</f>
        <v>0.06</v>
      </c>
      <c r="H345" s="8" t="n">
        <f aca="false">IFERROR(Rohdaten!C345*100/Rohdaten!L345,"–")</f>
        <v>300</v>
      </c>
      <c r="I345" s="9" t="n">
        <f aca="false">IFERROR(Rohdaten!C345*100/Rohdaten!M345,"–")</f>
        <v>750</v>
      </c>
      <c r="J345" s="8" t="n">
        <f aca="false">IFERROR(Rohdaten!C345*100/Rohdaten!N345,"–")</f>
        <v>750</v>
      </c>
      <c r="K345" s="9" t="n">
        <f aca="false">IFERROR(Rohdaten!C345*100/Rohdaten!O345,"–")</f>
        <v>100</v>
      </c>
      <c r="L345" s="8" t="n">
        <f aca="false">IFERROR(Rohdaten!C345*100/Rohdaten!P345,"–")</f>
        <v>2000</v>
      </c>
      <c r="M345" s="8" t="n">
        <f aca="false">IFERROR(Rohdaten!C345*100/Rohdaten!Q345,"–")</f>
        <v>333.333333333333</v>
      </c>
      <c r="N345" s="8" t="n">
        <f aca="false">IFERROR(Rohdaten!C345*100/Rohdaten!R345,"–")</f>
        <v>75</v>
      </c>
      <c r="O345" s="8" t="n">
        <f aca="false">IFERROR(Rohdaten!C345*100/Rohdaten!S345,"–")</f>
        <v>1500</v>
      </c>
      <c r="P345" s="9" t="n">
        <f aca="false">IFERROR(Rohdaten!C345*100/Rohdaten!T345,"–")</f>
        <v>5</v>
      </c>
      <c r="Q345" s="9" t="n">
        <f aca="false">IFERROR(Rohdaten!C345*100/Rohdaten!U345,"–")</f>
        <v>30</v>
      </c>
      <c r="R345" s="8" t="n">
        <f aca="false">IFERROR(Rohdaten!C345*100/Rohdaten!V345,"–")</f>
        <v>20</v>
      </c>
      <c r="S345" s="8" t="n">
        <f aca="false">IFERROR(Rohdaten!C345*100/Rohdaten!W345,"–")</f>
        <v>75</v>
      </c>
      <c r="T345" s="8" t="n">
        <f aca="false">IFERROR(Rohdaten!C345*100/Rohdaten!X345,"–")</f>
        <v>20</v>
      </c>
      <c r="U345" s="8" t="n">
        <f aca="false">IFERROR(Rohdaten!C345*100/Rohdaten!Y345,"–")</f>
        <v>150</v>
      </c>
      <c r="V345" s="8" t="n">
        <f aca="false">IFERROR(Rohdaten!C345*100/Rohdaten!Z345,"–")</f>
        <v>1.66666666666667</v>
      </c>
    </row>
    <row r="346" customFormat="false" ht="15" hidden="false" customHeight="true" outlineLevel="0" collapsed="false">
      <c r="A346" s="4" t="str">
        <f aca="false">Rohdaten!A346</f>
        <v>Blutwurst</v>
      </c>
      <c r="B346" s="8" t="n">
        <f aca="false">Rohdaten!C346</f>
        <v>3</v>
      </c>
      <c r="C346" s="8" t="n">
        <f aca="false">IFERROR(Rohdaten!C346*100/Rohdaten!G346,"–")</f>
        <v>0.79155672823219</v>
      </c>
      <c r="D346" s="8" t="n">
        <f aca="false">IFERROR(Rohdaten!C346*100/(Rohdaten!H346*9),"–")</f>
        <v>0.952380952380952</v>
      </c>
      <c r="E346" s="8" t="n">
        <f aca="false">IFERROR(Rohdaten!C346*100/(Rohdaten!I346*4),"–")</f>
        <v>5.35714285714286</v>
      </c>
      <c r="F346" s="8" t="str">
        <f aca="false">IFERROR(Rohdaten!C346*100/(Rohdaten!J346*4),"–")</f>
        <v>–</v>
      </c>
      <c r="G346" s="9" t="str">
        <f aca="false">IFERROR(Rohdaten!C346*100/Rohdaten!K346,"–")</f>
        <v>–</v>
      </c>
      <c r="H346" s="8" t="str">
        <f aca="false">IFERROR(Rohdaten!C346*100/Rohdaten!L346,"–")</f>
        <v>–</v>
      </c>
      <c r="I346" s="9" t="n">
        <f aca="false">IFERROR(Rohdaten!C346*100/Rohdaten!M346,"–")</f>
        <v>1000</v>
      </c>
      <c r="J346" s="8" t="n">
        <f aca="false">IFERROR(Rohdaten!C346*100/Rohdaten!N346,"–")</f>
        <v>1000</v>
      </c>
      <c r="K346" s="9" t="str">
        <f aca="false">IFERROR(Rohdaten!C346*100/Rohdaten!O346,"–")</f>
        <v>–</v>
      </c>
      <c r="L346" s="8" t="n">
        <f aca="false">IFERROR(Rohdaten!C346*100/Rohdaten!P346,"–")</f>
        <v>6000</v>
      </c>
      <c r="M346" s="8" t="n">
        <f aca="false">IFERROR(Rohdaten!C346*100/Rohdaten!Q346,"–")</f>
        <v>2000</v>
      </c>
      <c r="N346" s="8" t="n">
        <f aca="false">IFERROR(Rohdaten!C346*100/Rohdaten!R346,"–")</f>
        <v>150</v>
      </c>
      <c r="O346" s="8" t="n">
        <f aca="false">IFERROR(Rohdaten!C346*100/Rohdaten!S346,"–")</f>
        <v>3000</v>
      </c>
      <c r="P346" s="9" t="n">
        <f aca="false">IFERROR(Rohdaten!C346*100/Rohdaten!T346,"–")</f>
        <v>30</v>
      </c>
      <c r="Q346" s="9" t="n">
        <f aca="false">IFERROR(Rohdaten!C346*100/Rohdaten!U346,"–")</f>
        <v>100</v>
      </c>
      <c r="R346" s="8" t="n">
        <f aca="false">IFERROR(Rohdaten!C346*100/Rohdaten!V346,"–")</f>
        <v>15</v>
      </c>
      <c r="S346" s="8" t="n">
        <f aca="false">IFERROR(Rohdaten!C346*100/Rohdaten!W346,"–")</f>
        <v>20</v>
      </c>
      <c r="T346" s="8" t="n">
        <f aca="false">IFERROR(Rohdaten!C346*100/Rohdaten!X346,"–")</f>
        <v>20</v>
      </c>
      <c r="U346" s="8" t="n">
        <f aca="false">IFERROR(Rohdaten!C346*100/Rohdaten!Y346,"–")</f>
        <v>150</v>
      </c>
      <c r="V346" s="8" t="n">
        <f aca="false">IFERROR(Rohdaten!C346*100/Rohdaten!Z346,"–")</f>
        <v>2</v>
      </c>
    </row>
    <row r="347" customFormat="false" ht="15" hidden="false" customHeight="true" outlineLevel="0" collapsed="false">
      <c r="A347" s="4" t="str">
        <f aca="false">Rohdaten!A347</f>
        <v>Mortadella</v>
      </c>
      <c r="B347" s="8" t="n">
        <f aca="false">Rohdaten!C347</f>
        <v>5</v>
      </c>
      <c r="C347" s="8" t="n">
        <f aca="false">IFERROR(Rohdaten!C347*100/Rohdaten!G347,"–")</f>
        <v>1.73611111111111</v>
      </c>
      <c r="D347" s="8" t="n">
        <f aca="false">IFERROR(Rohdaten!C347*100/(Rohdaten!H347*9),"–")</f>
        <v>2.22222222222222</v>
      </c>
      <c r="E347" s="8" t="n">
        <f aca="false">IFERROR(Rohdaten!C347*100/(Rohdaten!I347*4),"–")</f>
        <v>8.33333333333333</v>
      </c>
      <c r="F347" s="8" t="n">
        <f aca="false">IFERROR(Rohdaten!C347*100/(Rohdaten!J347*4),"–")</f>
        <v>62.5</v>
      </c>
      <c r="G347" s="9" t="str">
        <f aca="false">IFERROR(Rohdaten!C347*100/Rohdaten!K347,"–")</f>
        <v>–</v>
      </c>
      <c r="H347" s="8" t="str">
        <f aca="false">IFERROR(Rohdaten!C347*100/Rohdaten!L347,"–")</f>
        <v>–</v>
      </c>
      <c r="I347" s="9" t="n">
        <f aca="false">IFERROR(Rohdaten!C347*100/Rohdaten!M347,"–")</f>
        <v>1666.66666666667</v>
      </c>
      <c r="J347" s="8" t="n">
        <f aca="false">IFERROR(Rohdaten!C347*100/Rohdaten!N347,"–")</f>
        <v>1666.66666666667</v>
      </c>
      <c r="K347" s="9" t="str">
        <f aca="false">IFERROR(Rohdaten!C347*100/Rohdaten!O347,"–")</f>
        <v>–</v>
      </c>
      <c r="L347" s="8" t="n">
        <f aca="false">IFERROR(Rohdaten!C347*100/Rohdaten!P347,"–")</f>
        <v>1666.66666666667</v>
      </c>
      <c r="M347" s="8" t="n">
        <f aca="false">IFERROR(Rohdaten!C347*100/Rohdaten!Q347,"–")</f>
        <v>3333.33333333333</v>
      </c>
      <c r="N347" s="8" t="n">
        <f aca="false">IFERROR(Rohdaten!C347*100/Rohdaten!R347,"–")</f>
        <v>142.857142857143</v>
      </c>
      <c r="O347" s="8" t="n">
        <f aca="false">IFERROR(Rohdaten!C347*100/Rohdaten!S347,"–")</f>
        <v>2000</v>
      </c>
      <c r="P347" s="9" t="n">
        <f aca="false">IFERROR(Rohdaten!C347*100/Rohdaten!T347,"–")</f>
        <v>166.666666666667</v>
      </c>
      <c r="Q347" s="9" t="n">
        <f aca="false">IFERROR(Rohdaten!C347*100/Rohdaten!U347,"–")</f>
        <v>714.285714285714</v>
      </c>
      <c r="R347" s="8" t="n">
        <f aca="false">IFERROR(Rohdaten!C347*100/Rohdaten!V347,"–")</f>
        <v>41.6666666666667</v>
      </c>
      <c r="S347" s="8" t="n">
        <f aca="false">IFERROR(Rohdaten!C347*100/Rohdaten!W347,"–")</f>
        <v>500</v>
      </c>
      <c r="T347" s="8" t="n">
        <f aca="false">IFERROR(Rohdaten!C347*100/Rohdaten!X347,"–")</f>
        <v>33.3333333333333</v>
      </c>
      <c r="U347" s="8" t="n">
        <f aca="false">IFERROR(Rohdaten!C347*100/Rohdaten!Y347,"–")</f>
        <v>277.777777777778</v>
      </c>
      <c r="V347" s="8" t="n">
        <f aca="false">IFERROR(Rohdaten!C347*100/Rohdaten!Z347,"–")</f>
        <v>2.27272727272727</v>
      </c>
    </row>
    <row r="348" customFormat="false" ht="15" hidden="false" customHeight="true" outlineLevel="0" collapsed="false">
      <c r="A348" s="4" t="str">
        <f aca="false">Rohdaten!A348</f>
        <v>Corned Beef</v>
      </c>
      <c r="B348" s="8" t="n">
        <f aca="false">Rohdaten!C348</f>
        <v>5.5</v>
      </c>
      <c r="C348" s="8" t="n">
        <f aca="false">IFERROR(Rohdaten!C348*100/Rohdaten!G348,"–")</f>
        <v>2.5</v>
      </c>
      <c r="D348" s="8" t="n">
        <f aca="false">IFERROR(Rohdaten!C348*100/(Rohdaten!H348*9),"–")</f>
        <v>4.7008547008547</v>
      </c>
      <c r="E348" s="8" t="n">
        <f aca="false">IFERROR(Rohdaten!C348*100/(Rohdaten!I348*4),"–")</f>
        <v>5.72916666666667</v>
      </c>
      <c r="F348" s="8" t="str">
        <f aca="false">IFERROR(Rohdaten!C348*100/(Rohdaten!J348*4),"–")</f>
        <v>–</v>
      </c>
      <c r="G348" s="9" t="str">
        <f aca="false">IFERROR(Rohdaten!C348*100/Rohdaten!K348,"–")</f>
        <v>–</v>
      </c>
      <c r="H348" s="8" t="str">
        <f aca="false">IFERROR(Rohdaten!C348*100/Rohdaten!L348,"–")</f>
        <v>–</v>
      </c>
      <c r="I348" s="9" t="str">
        <f aca="false">IFERROR(Rohdaten!C348*100/Rohdaten!M348,"–")</f>
        <v>–</v>
      </c>
      <c r="J348" s="8" t="n">
        <f aca="false">IFERROR(Rohdaten!C348*100/Rohdaten!N348,"–")</f>
        <v>1833.33333333333</v>
      </c>
      <c r="K348" s="9" t="str">
        <f aca="false">IFERROR(Rohdaten!C348*100/Rohdaten!O348,"–")</f>
        <v>–</v>
      </c>
      <c r="L348" s="8" t="n">
        <f aca="false">IFERROR(Rohdaten!C348*100/Rohdaten!P348,"–")</f>
        <v>27500</v>
      </c>
      <c r="M348" s="8" t="n">
        <f aca="false">IFERROR(Rohdaten!C348*100/Rohdaten!Q348,"–")</f>
        <v>2750</v>
      </c>
      <c r="N348" s="8" t="n">
        <f aca="false">IFERROR(Rohdaten!C348*100/Rohdaten!R348,"–")</f>
        <v>157.142857142857</v>
      </c>
      <c r="O348" s="8" t="n">
        <f aca="false">IFERROR(Rohdaten!C348*100/Rohdaten!S348,"–")</f>
        <v>2200</v>
      </c>
      <c r="P348" s="9" t="n">
        <f aca="false">IFERROR(Rohdaten!C348*100/Rohdaten!T348,"–")</f>
        <v>137.5</v>
      </c>
      <c r="Q348" s="9" t="n">
        <f aca="false">IFERROR(Rohdaten!C348*100/Rohdaten!U348,"–")</f>
        <v>275</v>
      </c>
      <c r="R348" s="8" t="n">
        <f aca="false">IFERROR(Rohdaten!C348*100/Rohdaten!V348,"–")</f>
        <v>55</v>
      </c>
      <c r="S348" s="8" t="n">
        <f aca="false">IFERROR(Rohdaten!C348*100/Rohdaten!W348,"–")</f>
        <v>183.333333333333</v>
      </c>
      <c r="T348" s="8" t="n">
        <f aca="false">IFERROR(Rohdaten!C348*100/Rohdaten!X348,"–")</f>
        <v>36.6666666666667</v>
      </c>
      <c r="U348" s="8" t="n">
        <f aca="false">IFERROR(Rohdaten!C348*100/Rohdaten!Y348,"–")</f>
        <v>137.5</v>
      </c>
      <c r="V348" s="8" t="n">
        <f aca="false">IFERROR(Rohdaten!C348*100/Rohdaten!Z348,"–")</f>
        <v>3.66666666666667</v>
      </c>
    </row>
    <row r="349" customFormat="false" ht="15" hidden="false" customHeight="true" outlineLevel="0" collapsed="false">
      <c r="A349" s="4" t="str">
        <f aca="false">Rohdaten!A349</f>
        <v>Chorizo</v>
      </c>
      <c r="B349" s="8" t="n">
        <f aca="false">Rohdaten!C349</f>
        <v>6</v>
      </c>
      <c r="C349" s="8" t="n">
        <f aca="false">IFERROR(Rohdaten!C349*100/Rohdaten!G349,"–")</f>
        <v>1.31868131868132</v>
      </c>
      <c r="D349" s="8" t="n">
        <f aca="false">IFERROR(Rohdaten!C349*100/(Rohdaten!H349*9),"–")</f>
        <v>1.75438596491228</v>
      </c>
      <c r="E349" s="8" t="n">
        <f aca="false">IFERROR(Rohdaten!C349*100/(Rohdaten!I349*4),"–")</f>
        <v>6.25</v>
      </c>
      <c r="F349" s="8" t="n">
        <f aca="false">IFERROR(Rohdaten!C349*100/(Rohdaten!J349*4),"–")</f>
        <v>78.9473684210526</v>
      </c>
      <c r="G349" s="9" t="str">
        <f aca="false">IFERROR(Rohdaten!C349*100/Rohdaten!K349,"–")</f>
        <v>–</v>
      </c>
      <c r="H349" s="8" t="str">
        <f aca="false">IFERROR(Rohdaten!C349*100/Rohdaten!L349,"–")</f>
        <v>–</v>
      </c>
      <c r="I349" s="9" t="n">
        <f aca="false">IFERROR(Rohdaten!C349*100/Rohdaten!M349,"–")</f>
        <v>2000</v>
      </c>
      <c r="J349" s="8" t="n">
        <f aca="false">IFERROR(Rohdaten!C349*100/Rohdaten!N349,"–")</f>
        <v>2000</v>
      </c>
      <c r="K349" s="9" t="str">
        <f aca="false">IFERROR(Rohdaten!C349*100/Rohdaten!O349,"–")</f>
        <v>–</v>
      </c>
      <c r="L349" s="8" t="n">
        <f aca="false">IFERROR(Rohdaten!C349*100/Rohdaten!P349,"–")</f>
        <v>1500</v>
      </c>
      <c r="M349" s="8" t="n">
        <f aca="false">IFERROR(Rohdaten!C349*100/Rohdaten!Q349,"–")</f>
        <v>2400</v>
      </c>
      <c r="N349" s="8" t="n">
        <f aca="false">IFERROR(Rohdaten!C349*100/Rohdaten!R349,"–")</f>
        <v>109.090909090909</v>
      </c>
      <c r="O349" s="8" t="n">
        <f aca="false">IFERROR(Rohdaten!C349*100/Rohdaten!S349,"–")</f>
        <v>1714.28571428571</v>
      </c>
      <c r="P349" s="9" t="n">
        <f aca="false">IFERROR(Rohdaten!C349*100/Rohdaten!T349,"–")</f>
        <v>200</v>
      </c>
      <c r="Q349" s="9" t="n">
        <f aca="false">IFERROR(Rohdaten!C349*100/Rohdaten!U349,"–")</f>
        <v>600</v>
      </c>
      <c r="R349" s="8" t="n">
        <f aca="false">IFERROR(Rohdaten!C349*100/Rohdaten!V349,"–")</f>
        <v>40</v>
      </c>
      <c r="S349" s="8" t="n">
        <f aca="false">IFERROR(Rohdaten!C349*100/Rohdaten!W349,"–")</f>
        <v>400</v>
      </c>
      <c r="T349" s="8" t="n">
        <f aca="false">IFERROR(Rohdaten!C349*100/Rohdaten!X349,"–")</f>
        <v>30</v>
      </c>
      <c r="U349" s="8" t="n">
        <f aca="false">IFERROR(Rohdaten!C349*100/Rohdaten!Y349,"–")</f>
        <v>240</v>
      </c>
      <c r="V349" s="8" t="n">
        <f aca="false">IFERROR(Rohdaten!C349*100/Rohdaten!Z349,"–")</f>
        <v>1.875</v>
      </c>
    </row>
    <row r="350" customFormat="false" ht="15" hidden="false" customHeight="true" outlineLevel="0" collapsed="false">
      <c r="A350" s="4" t="str">
        <f aca="false">Rohdaten!A350</f>
        <v>Frankfurter Würstchen</v>
      </c>
      <c r="B350" s="8" t="n">
        <f aca="false">Rohdaten!C350</f>
        <v>4.5</v>
      </c>
      <c r="C350" s="8" t="n">
        <f aca="false">IFERROR(Rohdaten!C350*100/Rohdaten!G350,"–")</f>
        <v>1.5</v>
      </c>
      <c r="D350" s="8" t="n">
        <f aca="false">IFERROR(Rohdaten!C350*100/(Rohdaten!H350*9),"–")</f>
        <v>1.85185185185185</v>
      </c>
      <c r="E350" s="8" t="n">
        <f aca="false">IFERROR(Rohdaten!C350*100/(Rohdaten!I350*4),"–")</f>
        <v>9.375</v>
      </c>
      <c r="F350" s="8" t="n">
        <f aca="false">IFERROR(Rohdaten!C350*100/(Rohdaten!J350*4),"–")</f>
        <v>56.25</v>
      </c>
      <c r="G350" s="9" t="str">
        <f aca="false">IFERROR(Rohdaten!C350*100/Rohdaten!K350,"–")</f>
        <v>–</v>
      </c>
      <c r="H350" s="8" t="str">
        <f aca="false">IFERROR(Rohdaten!C350*100/Rohdaten!L350,"–")</f>
        <v>–</v>
      </c>
      <c r="I350" s="9" t="n">
        <f aca="false">IFERROR(Rohdaten!C350*100/Rohdaten!M350,"–")</f>
        <v>1500</v>
      </c>
      <c r="J350" s="8" t="n">
        <f aca="false">IFERROR(Rohdaten!C350*100/Rohdaten!N350,"–")</f>
        <v>1500</v>
      </c>
      <c r="K350" s="9" t="str">
        <f aca="false">IFERROR(Rohdaten!C350*100/Rohdaten!O350,"–")</f>
        <v>–</v>
      </c>
      <c r="L350" s="8" t="n">
        <f aca="false">IFERROR(Rohdaten!C350*100/Rohdaten!P350,"–")</f>
        <v>2250</v>
      </c>
      <c r="M350" s="8" t="n">
        <f aca="false">IFERROR(Rohdaten!C350*100/Rohdaten!Q350,"–")</f>
        <v>4500</v>
      </c>
      <c r="N350" s="8" t="n">
        <f aca="false">IFERROR(Rohdaten!C350*100/Rohdaten!R350,"–")</f>
        <v>180</v>
      </c>
      <c r="O350" s="8" t="n">
        <f aca="false">IFERROR(Rohdaten!C350*100/Rohdaten!S350,"–")</f>
        <v>3000</v>
      </c>
      <c r="P350" s="9" t="n">
        <f aca="false">IFERROR(Rohdaten!C350*100/Rohdaten!T350,"–")</f>
        <v>150</v>
      </c>
      <c r="Q350" s="9" t="n">
        <f aca="false">IFERROR(Rohdaten!C350*100/Rohdaten!U350,"–")</f>
        <v>750</v>
      </c>
      <c r="R350" s="8" t="n">
        <f aca="false">IFERROR(Rohdaten!C350*100/Rohdaten!V350,"–")</f>
        <v>45</v>
      </c>
      <c r="S350" s="8" t="n">
        <f aca="false">IFERROR(Rohdaten!C350*100/Rohdaten!W350,"–")</f>
        <v>450</v>
      </c>
      <c r="T350" s="8" t="n">
        <f aca="false">IFERROR(Rohdaten!C350*100/Rohdaten!X350,"–")</f>
        <v>37.5</v>
      </c>
      <c r="U350" s="8" t="n">
        <f aca="false">IFERROR(Rohdaten!C350*100/Rohdaten!Y350,"–")</f>
        <v>300</v>
      </c>
      <c r="V350" s="8" t="n">
        <f aca="false">IFERROR(Rohdaten!C350*100/Rohdaten!Z350,"–")</f>
        <v>2.5</v>
      </c>
    </row>
    <row r="351" customFormat="false" ht="15" hidden="false" customHeight="true" outlineLevel="0" collapsed="false">
      <c r="A351" s="4" t="str">
        <f aca="false">Rohdaten!A351</f>
        <v>Kasseler</v>
      </c>
      <c r="B351" s="8" t="n">
        <f aca="false">Rohdaten!C351</f>
        <v>4.8</v>
      </c>
      <c r="C351" s="8" t="n">
        <f aca="false">IFERROR(Rohdaten!C351*100/Rohdaten!G351,"–")</f>
        <v>2.60869565217391</v>
      </c>
      <c r="D351" s="8" t="n">
        <f aca="false">IFERROR(Rohdaten!C351*100/(Rohdaten!H351*9),"–")</f>
        <v>5.92592592592593</v>
      </c>
      <c r="E351" s="8" t="n">
        <f aca="false">IFERROR(Rohdaten!C351*100/(Rohdaten!I351*4),"–")</f>
        <v>5</v>
      </c>
      <c r="F351" s="8" t="str">
        <f aca="false">IFERROR(Rohdaten!C351*100/(Rohdaten!J351*4),"–")</f>
        <v>–</v>
      </c>
      <c r="G351" s="9" t="str">
        <f aca="false">IFERROR(Rohdaten!C351*100/Rohdaten!K351,"–")</f>
        <v>–</v>
      </c>
      <c r="H351" s="8" t="str">
        <f aca="false">IFERROR(Rohdaten!C351*100/Rohdaten!L351,"–")</f>
        <v>–</v>
      </c>
      <c r="I351" s="9" t="n">
        <f aca="false">IFERROR(Rohdaten!C351*100/Rohdaten!M351,"–")</f>
        <v>960</v>
      </c>
      <c r="J351" s="8" t="n">
        <f aca="false">IFERROR(Rohdaten!C351*100/Rohdaten!N351,"–")</f>
        <v>1600</v>
      </c>
      <c r="K351" s="9" t="str">
        <f aca="false">IFERROR(Rohdaten!C351*100/Rohdaten!O351,"–")</f>
        <v>–</v>
      </c>
      <c r="L351" s="8" t="n">
        <f aca="false">IFERROR(Rohdaten!C351*100/Rohdaten!P351,"–")</f>
        <v>685.714285714286</v>
      </c>
      <c r="M351" s="8" t="n">
        <f aca="false">IFERROR(Rohdaten!C351*100/Rohdaten!Q351,"–")</f>
        <v>1920</v>
      </c>
      <c r="N351" s="8" t="n">
        <f aca="false">IFERROR(Rohdaten!C351*100/Rohdaten!R351,"–")</f>
        <v>80</v>
      </c>
      <c r="O351" s="8" t="n">
        <f aca="false">IFERROR(Rohdaten!C351*100/Rohdaten!S351,"–")</f>
        <v>960</v>
      </c>
      <c r="P351" s="9" t="n">
        <f aca="false">IFERROR(Rohdaten!C351*100/Rohdaten!T351,"–")</f>
        <v>160</v>
      </c>
      <c r="Q351" s="9" t="n">
        <f aca="false">IFERROR(Rohdaten!C351*100/Rohdaten!U351,"–")</f>
        <v>685.714285714286</v>
      </c>
      <c r="R351" s="8" t="n">
        <f aca="false">IFERROR(Rohdaten!C351*100/Rohdaten!V351,"–")</f>
        <v>48</v>
      </c>
      <c r="S351" s="8" t="n">
        <f aca="false">IFERROR(Rohdaten!C351*100/Rohdaten!W351,"–")</f>
        <v>480</v>
      </c>
      <c r="T351" s="8" t="n">
        <f aca="false">IFERROR(Rohdaten!C351*100/Rohdaten!X351,"–")</f>
        <v>24</v>
      </c>
      <c r="U351" s="8" t="n">
        <f aca="false">IFERROR(Rohdaten!C351*100/Rohdaten!Y351,"–")</f>
        <v>240</v>
      </c>
      <c r="V351" s="8" t="n">
        <f aca="false">IFERROR(Rohdaten!C351*100/Rohdaten!Z351,"–")</f>
        <v>1.37142857142857</v>
      </c>
    </row>
    <row r="352" customFormat="false" ht="15" hidden="false" customHeight="true" outlineLevel="0" collapsed="false">
      <c r="A352" s="4" t="str">
        <f aca="false">Rohdaten!A352</f>
        <v>Gouda</v>
      </c>
      <c r="B352" s="8" t="n">
        <f aca="false">Rohdaten!C352</f>
        <v>6</v>
      </c>
      <c r="C352" s="8" t="n">
        <f aca="false">IFERROR(Rohdaten!C352*100/Rohdaten!G352,"–")</f>
        <v>1.68539325842697</v>
      </c>
      <c r="D352" s="8" t="n">
        <f aca="false">IFERROR(Rohdaten!C352*100/(Rohdaten!H352*9),"–")</f>
        <v>2.46913580246914</v>
      </c>
      <c r="E352" s="8" t="n">
        <f aca="false">IFERROR(Rohdaten!C352*100/(Rohdaten!I352*4),"–")</f>
        <v>6</v>
      </c>
      <c r="F352" s="8" t="n">
        <f aca="false">IFERROR(Rohdaten!C352*100/(Rohdaten!J352*4),"–")</f>
        <v>68.1818181818182</v>
      </c>
      <c r="G352" s="9" t="n">
        <f aca="false">IFERROR(Rohdaten!C352*100/Rohdaten!K352,"–")</f>
        <v>3</v>
      </c>
      <c r="H352" s="8" t="str">
        <f aca="false">IFERROR(Rohdaten!C352*100/Rohdaten!L352,"–")</f>
        <v>–</v>
      </c>
      <c r="I352" s="9" t="n">
        <f aca="false">IFERROR(Rohdaten!C352*100/Rohdaten!M352,"–")</f>
        <v>1200</v>
      </c>
      <c r="J352" s="8" t="n">
        <f aca="false">IFERROR(Rohdaten!C352*100/Rohdaten!N352,"–")</f>
        <v>1200</v>
      </c>
      <c r="K352" s="9" t="n">
        <f aca="false">IFERROR(Rohdaten!C352*100/Rohdaten!O352,"–")</f>
        <v>300</v>
      </c>
      <c r="L352" s="8" t="n">
        <f aca="false">IFERROR(Rohdaten!C352*100/Rohdaten!P352,"–")</f>
        <v>20000</v>
      </c>
      <c r="M352" s="8" t="n">
        <f aca="false">IFERROR(Rohdaten!C352*100/Rohdaten!Q352,"–")</f>
        <v>1714.28571428571</v>
      </c>
      <c r="N352" s="8" t="n">
        <f aca="false">IFERROR(Rohdaten!C352*100/Rohdaten!R352,"–")</f>
        <v>6000</v>
      </c>
      <c r="O352" s="8" t="n">
        <f aca="false">IFERROR(Rohdaten!C352*100/Rohdaten!S352,"–")</f>
        <v>7500</v>
      </c>
      <c r="P352" s="9" t="n">
        <f aca="false">IFERROR(Rohdaten!C352*100/Rohdaten!T352,"–")</f>
        <v>33.3333333333333</v>
      </c>
      <c r="Q352" s="9" t="n">
        <f aca="false">IFERROR(Rohdaten!C352*100/Rohdaten!U352,"–")</f>
        <v>400</v>
      </c>
      <c r="R352" s="8" t="n">
        <f aca="false">IFERROR(Rohdaten!C352*100/Rohdaten!V352,"–")</f>
        <v>0.857142857142857</v>
      </c>
      <c r="S352" s="8" t="n">
        <f aca="false">IFERROR(Rohdaten!C352*100/Rohdaten!W352,"–")</f>
        <v>2000</v>
      </c>
      <c r="T352" s="8" t="n">
        <f aca="false">IFERROR(Rohdaten!C352*100/Rohdaten!X352,"–")</f>
        <v>20</v>
      </c>
      <c r="U352" s="8" t="n">
        <f aca="false">IFERROR(Rohdaten!C352*100/Rohdaten!Y352,"–")</f>
        <v>200</v>
      </c>
      <c r="V352" s="8" t="n">
        <f aca="false">IFERROR(Rohdaten!C352*100/Rohdaten!Z352,"–")</f>
        <v>5</v>
      </c>
    </row>
    <row r="353" customFormat="false" ht="15" hidden="false" customHeight="true" outlineLevel="0" collapsed="false">
      <c r="A353" s="4" t="str">
        <f aca="false">Rohdaten!A353</f>
        <v>Edamer</v>
      </c>
      <c r="B353" s="8" t="n">
        <f aca="false">Rohdaten!C353</f>
        <v>5.8</v>
      </c>
      <c r="C353" s="8" t="n">
        <f aca="false">IFERROR(Rohdaten!C353*100/Rohdaten!G353,"–")</f>
        <v>1.75757575757576</v>
      </c>
      <c r="D353" s="8" t="n">
        <f aca="false">IFERROR(Rohdaten!C353*100/(Rohdaten!H353*9),"–")</f>
        <v>2.68518518518519</v>
      </c>
      <c r="E353" s="8" t="n">
        <f aca="false">IFERROR(Rohdaten!C353*100/(Rohdaten!I353*4),"–")</f>
        <v>5.57692307692308</v>
      </c>
      <c r="F353" s="8" t="n">
        <f aca="false">IFERROR(Rohdaten!C353*100/(Rohdaten!J353*4),"–")</f>
        <v>103.571428571429</v>
      </c>
      <c r="G353" s="9" t="n">
        <f aca="false">IFERROR(Rohdaten!C353*100/Rohdaten!K353,"–")</f>
        <v>3.22222222222222</v>
      </c>
      <c r="H353" s="8" t="str">
        <f aca="false">IFERROR(Rohdaten!C353*100/Rohdaten!L353,"–")</f>
        <v>–</v>
      </c>
      <c r="I353" s="9" t="n">
        <f aca="false">IFERROR(Rohdaten!C353*100/Rohdaten!M353,"–")</f>
        <v>1160</v>
      </c>
      <c r="J353" s="8" t="n">
        <f aca="false">IFERROR(Rohdaten!C353*100/Rohdaten!N353,"–")</f>
        <v>1160</v>
      </c>
      <c r="K353" s="9" t="n">
        <f aca="false">IFERROR(Rohdaten!C353*100/Rohdaten!O353,"–")</f>
        <v>290</v>
      </c>
      <c r="L353" s="8" t="n">
        <f aca="false">IFERROR(Rohdaten!C353*100/Rohdaten!P353,"–")</f>
        <v>19333.3333333333</v>
      </c>
      <c r="M353" s="8" t="n">
        <f aca="false">IFERROR(Rohdaten!C353*100/Rohdaten!Q353,"–")</f>
        <v>1757.57575757576</v>
      </c>
      <c r="N353" s="8" t="n">
        <f aca="false">IFERROR(Rohdaten!C353*100/Rohdaten!R353,"–")</f>
        <v>5800</v>
      </c>
      <c r="O353" s="8" t="n">
        <f aca="false">IFERROR(Rohdaten!C353*100/Rohdaten!S353,"–")</f>
        <v>7250</v>
      </c>
      <c r="P353" s="9" t="n">
        <f aca="false">IFERROR(Rohdaten!C353*100/Rohdaten!T353,"–")</f>
        <v>32.2222222222222</v>
      </c>
      <c r="Q353" s="9" t="n">
        <f aca="false">IFERROR(Rohdaten!C353*100/Rohdaten!U353,"–")</f>
        <v>414.285714285714</v>
      </c>
      <c r="R353" s="8" t="n">
        <f aca="false">IFERROR(Rohdaten!C353*100/Rohdaten!V353,"–")</f>
        <v>0.773333333333333</v>
      </c>
      <c r="S353" s="8" t="n">
        <f aca="false">IFERROR(Rohdaten!C353*100/Rohdaten!W353,"–")</f>
        <v>1933.33333333333</v>
      </c>
      <c r="T353" s="8" t="n">
        <f aca="false">IFERROR(Rohdaten!C353*100/Rohdaten!X353,"–")</f>
        <v>19.3333333333333</v>
      </c>
      <c r="U353" s="8" t="n">
        <f aca="false">IFERROR(Rohdaten!C353*100/Rohdaten!Y353,"–")</f>
        <v>181.25</v>
      </c>
      <c r="V353" s="8" t="n">
        <f aca="false">IFERROR(Rohdaten!C353*100/Rohdaten!Z353,"–")</f>
        <v>5.27272727272727</v>
      </c>
    </row>
    <row r="354" customFormat="false" ht="15" hidden="false" customHeight="true" outlineLevel="0" collapsed="false">
      <c r="A354" s="4" t="str">
        <f aca="false">Rohdaten!A354</f>
        <v>Mozzarella</v>
      </c>
      <c r="B354" s="8" t="n">
        <f aca="false">Rohdaten!C354</f>
        <v>5</v>
      </c>
      <c r="C354" s="8" t="n">
        <f aca="false">IFERROR(Rohdaten!C354*100/Rohdaten!G354,"–")</f>
        <v>1.78571428571429</v>
      </c>
      <c r="D354" s="8" t="n">
        <f aca="false">IFERROR(Rohdaten!C354*100/(Rohdaten!H354*9),"–")</f>
        <v>3.26797385620915</v>
      </c>
      <c r="E354" s="8" t="n">
        <f aca="false">IFERROR(Rohdaten!C354*100/(Rohdaten!I354*4),"–")</f>
        <v>5.68181818181818</v>
      </c>
      <c r="F354" s="8" t="n">
        <f aca="false">IFERROR(Rohdaten!C354*100/(Rohdaten!J354*4),"–")</f>
        <v>56.8181818181818</v>
      </c>
      <c r="G354" s="9" t="n">
        <f aca="false">IFERROR(Rohdaten!C354*100/Rohdaten!K354,"–")</f>
        <v>3.33333333333333</v>
      </c>
      <c r="H354" s="8" t="str">
        <f aca="false">IFERROR(Rohdaten!C354*100/Rohdaten!L354,"–")</f>
        <v>–</v>
      </c>
      <c r="I354" s="9" t="n">
        <f aca="false">IFERROR(Rohdaten!C354*100/Rohdaten!M354,"–")</f>
        <v>1666.66666666667</v>
      </c>
      <c r="J354" s="8" t="n">
        <f aca="false">IFERROR(Rohdaten!C354*100/Rohdaten!N354,"–")</f>
        <v>1666.66666666667</v>
      </c>
      <c r="K354" s="9" t="n">
        <f aca="false">IFERROR(Rohdaten!C354*100/Rohdaten!O354,"–")</f>
        <v>250</v>
      </c>
      <c r="L354" s="8" t="n">
        <f aca="false">IFERROR(Rohdaten!C354*100/Rohdaten!P354,"–")</f>
        <v>25000</v>
      </c>
      <c r="M354" s="8" t="n">
        <f aca="false">IFERROR(Rohdaten!C354*100/Rohdaten!Q354,"–")</f>
        <v>2000</v>
      </c>
      <c r="N354" s="8" t="n">
        <f aca="false">IFERROR(Rohdaten!C354*100/Rohdaten!R354,"–")</f>
        <v>5000</v>
      </c>
      <c r="O354" s="8" t="n">
        <f aca="false">IFERROR(Rohdaten!C354*100/Rohdaten!S354,"–")</f>
        <v>8333.33333333333</v>
      </c>
      <c r="P354" s="9" t="n">
        <f aca="false">IFERROR(Rohdaten!C354*100/Rohdaten!T354,"–")</f>
        <v>50</v>
      </c>
      <c r="Q354" s="9" t="n">
        <f aca="false">IFERROR(Rohdaten!C354*100/Rohdaten!U354,"–")</f>
        <v>500</v>
      </c>
      <c r="R354" s="8" t="n">
        <f aca="false">IFERROR(Rohdaten!C354*100/Rohdaten!V354,"–")</f>
        <v>0.99009900990099</v>
      </c>
      <c r="S354" s="8" t="n">
        <f aca="false">IFERROR(Rohdaten!C354*100/Rohdaten!W354,"–")</f>
        <v>1666.66666666667</v>
      </c>
      <c r="T354" s="8" t="n">
        <f aca="false">IFERROR(Rohdaten!C354*100/Rohdaten!X354,"–")</f>
        <v>25</v>
      </c>
      <c r="U354" s="8" t="n">
        <f aca="false">IFERROR(Rohdaten!C354*100/Rohdaten!Y354,"–")</f>
        <v>172.413793103448</v>
      </c>
      <c r="V354" s="8" t="n">
        <f aca="false">IFERROR(Rohdaten!C354*100/Rohdaten!Z354,"–")</f>
        <v>5.26315789473684</v>
      </c>
    </row>
    <row r="355" customFormat="false" ht="15" hidden="false" customHeight="true" outlineLevel="0" collapsed="false">
      <c r="A355" s="4" t="str">
        <f aca="false">Rohdaten!A355</f>
        <v>Burrata</v>
      </c>
      <c r="B355" s="8" t="n">
        <f aca="false">Rohdaten!C355</f>
        <v>5</v>
      </c>
      <c r="C355" s="8" t="n">
        <f aca="false">IFERROR(Rohdaten!C355*100/Rohdaten!G355,"–")</f>
        <v>1.66666666666667</v>
      </c>
      <c r="D355" s="8" t="n">
        <f aca="false">IFERROR(Rohdaten!C355*100/(Rohdaten!H355*9),"–")</f>
        <v>2.31481481481482</v>
      </c>
      <c r="E355" s="8" t="n">
        <f aca="false">IFERROR(Rohdaten!C355*100/(Rohdaten!I355*4),"–")</f>
        <v>8.33333333333333</v>
      </c>
      <c r="F355" s="8" t="n">
        <f aca="false">IFERROR(Rohdaten!C355*100/(Rohdaten!J355*4),"–")</f>
        <v>62.5</v>
      </c>
      <c r="G355" s="9" t="n">
        <f aca="false">IFERROR(Rohdaten!C355*100/Rohdaten!K355,"–")</f>
        <v>2.5</v>
      </c>
      <c r="H355" s="8" t="str">
        <f aca="false">IFERROR(Rohdaten!C355*100/Rohdaten!L355,"–")</f>
        <v>–</v>
      </c>
      <c r="I355" s="9" t="n">
        <f aca="false">IFERROR(Rohdaten!C355*100/Rohdaten!M355,"–")</f>
        <v>1666.66666666667</v>
      </c>
      <c r="J355" s="8" t="n">
        <f aca="false">IFERROR(Rohdaten!C355*100/Rohdaten!N355,"–")</f>
        <v>1666.66666666667</v>
      </c>
      <c r="K355" s="9" t="n">
        <f aca="false">IFERROR(Rohdaten!C355*100/Rohdaten!O355,"–")</f>
        <v>250</v>
      </c>
      <c r="L355" s="8" t="n">
        <f aca="false">IFERROR(Rohdaten!C355*100/Rohdaten!P355,"–")</f>
        <v>25000</v>
      </c>
      <c r="M355" s="8" t="n">
        <f aca="false">IFERROR(Rohdaten!C355*100/Rohdaten!Q355,"–")</f>
        <v>2500</v>
      </c>
      <c r="N355" s="8" t="n">
        <f aca="false">IFERROR(Rohdaten!C355*100/Rohdaten!R355,"–")</f>
        <v>5000</v>
      </c>
      <c r="O355" s="8" t="n">
        <f aca="false">IFERROR(Rohdaten!C355*100/Rohdaten!S355,"–")</f>
        <v>10000</v>
      </c>
      <c r="P355" s="9" t="n">
        <f aca="false">IFERROR(Rohdaten!C355*100/Rohdaten!T355,"–")</f>
        <v>50</v>
      </c>
      <c r="Q355" s="9" t="n">
        <f aca="false">IFERROR(Rohdaten!C355*100/Rohdaten!U355,"–")</f>
        <v>625</v>
      </c>
      <c r="R355" s="8" t="n">
        <f aca="false">IFERROR(Rohdaten!C355*100/Rohdaten!V355,"–")</f>
        <v>1.66666666666667</v>
      </c>
      <c r="S355" s="8" t="n">
        <f aca="false">IFERROR(Rohdaten!C355*100/Rohdaten!W355,"–")</f>
        <v>2500</v>
      </c>
      <c r="T355" s="8" t="n">
        <f aca="false">IFERROR(Rohdaten!C355*100/Rohdaten!X355,"–")</f>
        <v>33.3333333333333</v>
      </c>
      <c r="U355" s="8" t="n">
        <f aca="false">IFERROR(Rohdaten!C355*100/Rohdaten!Y355,"–")</f>
        <v>250</v>
      </c>
      <c r="V355" s="8" t="n">
        <f aca="false">IFERROR(Rohdaten!C355*100/Rohdaten!Z355,"–")</f>
        <v>5.55555555555556</v>
      </c>
    </row>
    <row r="356" customFormat="false" ht="15" hidden="false" customHeight="true" outlineLevel="0" collapsed="false">
      <c r="A356" s="4" t="str">
        <f aca="false">Rohdaten!A356</f>
        <v>Ricotta</v>
      </c>
      <c r="B356" s="8" t="n">
        <f aca="false">Rohdaten!C356</f>
        <v>3.5</v>
      </c>
      <c r="C356" s="8" t="n">
        <f aca="false">IFERROR(Rohdaten!C356*100/Rohdaten!G356,"–")</f>
        <v>2.01149425287356</v>
      </c>
      <c r="D356" s="8" t="n">
        <f aca="false">IFERROR(Rohdaten!C356*100/(Rohdaten!H356*9),"–")</f>
        <v>2.99145299145299</v>
      </c>
      <c r="E356" s="8" t="n">
        <f aca="false">IFERROR(Rohdaten!C356*100/(Rohdaten!I356*4),"–")</f>
        <v>9.72222222222222</v>
      </c>
      <c r="F356" s="8" t="n">
        <f aca="false">IFERROR(Rohdaten!C356*100/(Rohdaten!J356*4),"–")</f>
        <v>29.1666666666667</v>
      </c>
      <c r="G356" s="9" t="n">
        <f aca="false">IFERROR(Rohdaten!C356*100/Rohdaten!K356,"–")</f>
        <v>2.91666666666667</v>
      </c>
      <c r="H356" s="8" t="str">
        <f aca="false">IFERROR(Rohdaten!C356*100/Rohdaten!L356,"–")</f>
        <v>–</v>
      </c>
      <c r="I356" s="9" t="n">
        <f aca="false">IFERROR(Rohdaten!C356*100/Rohdaten!M356,"–")</f>
        <v>1750</v>
      </c>
      <c r="J356" s="8" t="n">
        <f aca="false">IFERROR(Rohdaten!C356*100/Rohdaten!N356,"–")</f>
        <v>1750</v>
      </c>
      <c r="K356" s="9" t="n">
        <f aca="false">IFERROR(Rohdaten!C356*100/Rohdaten!O356,"–")</f>
        <v>350</v>
      </c>
      <c r="L356" s="8" t="n">
        <f aca="false">IFERROR(Rohdaten!C356*100/Rohdaten!P356,"–")</f>
        <v>17500</v>
      </c>
      <c r="M356" s="8" t="n">
        <f aca="false">IFERROR(Rohdaten!C356*100/Rohdaten!Q356,"–")</f>
        <v>2333.33333333333</v>
      </c>
      <c r="N356" s="8" t="n">
        <f aca="false">IFERROR(Rohdaten!C356*100/Rohdaten!R356,"–")</f>
        <v>3500</v>
      </c>
      <c r="O356" s="8" t="n">
        <f aca="false">IFERROR(Rohdaten!C356*100/Rohdaten!S356,"–")</f>
        <v>11666.6666666667</v>
      </c>
      <c r="P356" s="9" t="n">
        <f aca="false">IFERROR(Rohdaten!C356*100/Rohdaten!T356,"–")</f>
        <v>35</v>
      </c>
      <c r="Q356" s="9" t="n">
        <f aca="false">IFERROR(Rohdaten!C356*100/Rohdaten!U356,"–")</f>
        <v>1166.66666666667</v>
      </c>
      <c r="R356" s="8" t="n">
        <f aca="false">IFERROR(Rohdaten!C356*100/Rohdaten!V356,"–")</f>
        <v>1.69082125603865</v>
      </c>
      <c r="S356" s="8" t="n">
        <f aca="false">IFERROR(Rohdaten!C356*100/Rohdaten!W356,"–")</f>
        <v>1750</v>
      </c>
      <c r="T356" s="8" t="n">
        <f aca="false">IFERROR(Rohdaten!C356*100/Rohdaten!X356,"–")</f>
        <v>35</v>
      </c>
      <c r="U356" s="8" t="n">
        <f aca="false">IFERROR(Rohdaten!C356*100/Rohdaten!Y356,"–")</f>
        <v>700</v>
      </c>
      <c r="V356" s="8" t="n">
        <f aca="false">IFERROR(Rohdaten!C356*100/Rohdaten!Z356,"–")</f>
        <v>3.33333333333333</v>
      </c>
    </row>
    <row r="357" customFormat="false" ht="15" hidden="false" customHeight="true" outlineLevel="0" collapsed="false">
      <c r="A357" s="4" t="str">
        <f aca="false">Rohdaten!A357</f>
        <v>Brie</v>
      </c>
      <c r="B357" s="8" t="n">
        <f aca="false">Rohdaten!C357</f>
        <v>6</v>
      </c>
      <c r="C357" s="8" t="n">
        <f aca="false">IFERROR(Rohdaten!C357*100/Rohdaten!G357,"–")</f>
        <v>1.79640718562874</v>
      </c>
      <c r="D357" s="8" t="n">
        <f aca="false">IFERROR(Rohdaten!C357*100/(Rohdaten!H357*9),"–")</f>
        <v>2.38095238095238</v>
      </c>
      <c r="E357" s="8" t="n">
        <f aca="false">IFERROR(Rohdaten!C357*100/(Rohdaten!I357*4),"–")</f>
        <v>7.14285714285714</v>
      </c>
      <c r="F357" s="8" t="n">
        <f aca="false">IFERROR(Rohdaten!C357*100/(Rohdaten!J357*4),"–")</f>
        <v>300</v>
      </c>
      <c r="G357" s="9" t="n">
        <f aca="false">IFERROR(Rohdaten!C357*100/Rohdaten!K357,"–")</f>
        <v>2.4</v>
      </c>
      <c r="H357" s="8" t="str">
        <f aca="false">IFERROR(Rohdaten!C357*100/Rohdaten!L357,"–")</f>
        <v>–</v>
      </c>
      <c r="I357" s="9" t="n">
        <f aca="false">IFERROR(Rohdaten!C357*100/Rohdaten!M357,"–")</f>
        <v>1000</v>
      </c>
      <c r="J357" s="8" t="n">
        <f aca="false">IFERROR(Rohdaten!C357*100/Rohdaten!N357,"–")</f>
        <v>1200</v>
      </c>
      <c r="K357" s="9" t="n">
        <f aca="false">IFERROR(Rohdaten!C357*100/Rohdaten!O357,"–")</f>
        <v>300</v>
      </c>
      <c r="L357" s="8" t="n">
        <f aca="false">IFERROR(Rohdaten!C357*100/Rohdaten!P357,"–")</f>
        <v>8571.42857142857</v>
      </c>
      <c r="M357" s="8" t="n">
        <f aca="false">IFERROR(Rohdaten!C357*100/Rohdaten!Q357,"–")</f>
        <v>1153.84615384615</v>
      </c>
      <c r="N357" s="8" t="n">
        <f aca="false">IFERROR(Rohdaten!C357*100/Rohdaten!R357,"–")</f>
        <v>1000</v>
      </c>
      <c r="O357" s="8" t="n">
        <f aca="false">IFERROR(Rohdaten!C357*100/Rohdaten!S357,"–")</f>
        <v>3000</v>
      </c>
      <c r="P357" s="9" t="n">
        <f aca="false">IFERROR(Rohdaten!C357*100/Rohdaten!T357,"–")</f>
        <v>9.23076923076923</v>
      </c>
      <c r="Q357" s="9" t="n">
        <f aca="false">IFERROR(Rohdaten!C357*100/Rohdaten!U357,"–")</f>
        <v>375</v>
      </c>
      <c r="R357" s="8" t="n">
        <f aca="false">IFERROR(Rohdaten!C357*100/Rohdaten!V357,"–")</f>
        <v>3.26086956521739</v>
      </c>
      <c r="S357" s="8" t="n">
        <f aca="false">IFERROR(Rohdaten!C357*100/Rohdaten!W357,"–")</f>
        <v>1200</v>
      </c>
      <c r="T357" s="8" t="n">
        <f aca="false">IFERROR(Rohdaten!C357*100/Rohdaten!X357,"–")</f>
        <v>30</v>
      </c>
      <c r="U357" s="8" t="n">
        <f aca="false">IFERROR(Rohdaten!C357*100/Rohdaten!Y357,"–")</f>
        <v>250</v>
      </c>
      <c r="V357" s="8" t="n">
        <f aca="false">IFERROR(Rohdaten!C357*100/Rohdaten!Z357,"–")</f>
        <v>4</v>
      </c>
    </row>
    <row r="358" customFormat="false" ht="15" hidden="false" customHeight="true" outlineLevel="0" collapsed="false">
      <c r="A358" s="4" t="str">
        <f aca="false">Rohdaten!A358</f>
        <v>Camembert</v>
      </c>
      <c r="B358" s="8" t="n">
        <f aca="false">Rohdaten!C358</f>
        <v>6</v>
      </c>
      <c r="C358" s="8" t="n">
        <f aca="false">IFERROR(Rohdaten!C358*100/Rohdaten!G358,"–")</f>
        <v>2</v>
      </c>
      <c r="D358" s="8" t="n">
        <f aca="false">IFERROR(Rohdaten!C358*100/(Rohdaten!H358*9),"–")</f>
        <v>2.77777777777778</v>
      </c>
      <c r="E358" s="8" t="n">
        <f aca="false">IFERROR(Rohdaten!C358*100/(Rohdaten!I358*4),"–")</f>
        <v>7.5</v>
      </c>
      <c r="F358" s="8" t="n">
        <f aca="false">IFERROR(Rohdaten!C358*100/(Rohdaten!J358*4),"–")</f>
        <v>300</v>
      </c>
      <c r="G358" s="9" t="n">
        <f aca="false">IFERROR(Rohdaten!C358*100/Rohdaten!K358,"–")</f>
        <v>2.5</v>
      </c>
      <c r="H358" s="8" t="str">
        <f aca="false">IFERROR(Rohdaten!C358*100/Rohdaten!L358,"–")</f>
        <v>–</v>
      </c>
      <c r="I358" s="9" t="n">
        <f aca="false">IFERROR(Rohdaten!C358*100/Rohdaten!M358,"–")</f>
        <v>1000</v>
      </c>
      <c r="J358" s="8" t="n">
        <f aca="false">IFERROR(Rohdaten!C358*100/Rohdaten!N358,"–")</f>
        <v>1200</v>
      </c>
      <c r="K358" s="9" t="n">
        <f aca="false">IFERROR(Rohdaten!C358*100/Rohdaten!O358,"–")</f>
        <v>300</v>
      </c>
      <c r="L358" s="8" t="n">
        <f aca="false">IFERROR(Rohdaten!C358*100/Rohdaten!P358,"–")</f>
        <v>10000</v>
      </c>
      <c r="M358" s="8" t="n">
        <f aca="false">IFERROR(Rohdaten!C358*100/Rohdaten!Q358,"–")</f>
        <v>1224.48979591837</v>
      </c>
      <c r="N358" s="8" t="n">
        <f aca="false">IFERROR(Rohdaten!C358*100/Rohdaten!R358,"–")</f>
        <v>1000</v>
      </c>
      <c r="O358" s="8" t="n">
        <f aca="false">IFERROR(Rohdaten!C358*100/Rohdaten!S358,"–")</f>
        <v>3000</v>
      </c>
      <c r="P358" s="9" t="n">
        <f aca="false">IFERROR(Rohdaten!C358*100/Rohdaten!T358,"–")</f>
        <v>9.67741935483871</v>
      </c>
      <c r="Q358" s="9" t="n">
        <f aca="false">IFERROR(Rohdaten!C358*100/Rohdaten!U358,"–")</f>
        <v>461.538461538462</v>
      </c>
      <c r="R358" s="8" t="n">
        <f aca="false">IFERROR(Rohdaten!C358*100/Rohdaten!V358,"–")</f>
        <v>1.54639175257732</v>
      </c>
      <c r="S358" s="8" t="n">
        <f aca="false">IFERROR(Rohdaten!C358*100/Rohdaten!W358,"–")</f>
        <v>2000</v>
      </c>
      <c r="T358" s="8" t="n">
        <f aca="false">IFERROR(Rohdaten!C358*100/Rohdaten!X358,"–")</f>
        <v>30</v>
      </c>
      <c r="U358" s="8" t="n">
        <f aca="false">IFERROR(Rohdaten!C358*100/Rohdaten!Y358,"–")</f>
        <v>240</v>
      </c>
      <c r="V358" s="8" t="n">
        <f aca="false">IFERROR(Rohdaten!C358*100/Rohdaten!Z358,"–")</f>
        <v>3.15789473684211</v>
      </c>
    </row>
    <row r="359" customFormat="false" ht="15" hidden="false" customHeight="true" outlineLevel="0" collapsed="false">
      <c r="A359" s="4" t="str">
        <f aca="false">Rohdaten!A359</f>
        <v>Blauschimmelkäse (Gorgonzola-Art)</v>
      </c>
      <c r="B359" s="8" t="n">
        <f aca="false">Rohdaten!C359</f>
        <v>6.5</v>
      </c>
      <c r="C359" s="8" t="n">
        <f aca="false">IFERROR(Rohdaten!C359*100/Rohdaten!G359,"–")</f>
        <v>1.84135977337111</v>
      </c>
      <c r="D359" s="8" t="n">
        <f aca="false">IFERROR(Rohdaten!C359*100/(Rohdaten!H359*9),"–")</f>
        <v>2.4904214559387</v>
      </c>
      <c r="E359" s="8" t="n">
        <f aca="false">IFERROR(Rohdaten!C359*100/(Rohdaten!I359*4),"–")</f>
        <v>7.73809523809524</v>
      </c>
      <c r="F359" s="8" t="n">
        <f aca="false">IFERROR(Rohdaten!C359*100/(Rohdaten!J359*4),"–")</f>
        <v>70.6521739130435</v>
      </c>
      <c r="G359" s="9" t="n">
        <f aca="false">IFERROR(Rohdaten!C359*100/Rohdaten!K359,"–")</f>
        <v>3.25</v>
      </c>
      <c r="H359" s="8" t="str">
        <f aca="false">IFERROR(Rohdaten!C359*100/Rohdaten!L359,"–")</f>
        <v>–</v>
      </c>
      <c r="I359" s="9" t="n">
        <f aca="false">IFERROR(Rohdaten!C359*100/Rohdaten!M359,"–")</f>
        <v>2166.66666666667</v>
      </c>
      <c r="J359" s="8" t="n">
        <f aca="false">IFERROR(Rohdaten!C359*100/Rohdaten!N359,"–")</f>
        <v>2166.66666666667</v>
      </c>
      <c r="K359" s="9" t="n">
        <f aca="false">IFERROR(Rohdaten!C359*100/Rohdaten!O359,"–")</f>
        <v>325</v>
      </c>
      <c r="L359" s="8" t="n">
        <f aca="false">IFERROR(Rohdaten!C359*100/Rohdaten!P359,"–")</f>
        <v>21666.6666666667</v>
      </c>
      <c r="M359" s="8" t="n">
        <f aca="false">IFERROR(Rohdaten!C359*100/Rohdaten!Q359,"–")</f>
        <v>1710.52631578947</v>
      </c>
      <c r="N359" s="8" t="n">
        <f aca="false">IFERROR(Rohdaten!C359*100/Rohdaten!R359,"–")</f>
        <v>650</v>
      </c>
      <c r="O359" s="8" t="n">
        <f aca="false">IFERROR(Rohdaten!C359*100/Rohdaten!S359,"–")</f>
        <v>3250</v>
      </c>
      <c r="P359" s="9" t="n">
        <f aca="false">IFERROR(Rohdaten!C359*100/Rohdaten!T359,"–")</f>
        <v>20.3125</v>
      </c>
      <c r="Q359" s="9" t="n">
        <f aca="false">IFERROR(Rohdaten!C359*100/Rohdaten!U359,"–")</f>
        <v>650</v>
      </c>
      <c r="R359" s="8" t="n">
        <f aca="false">IFERROR(Rohdaten!C359*100/Rohdaten!V359,"–")</f>
        <v>1.23106060606061</v>
      </c>
      <c r="S359" s="8" t="n">
        <f aca="false">IFERROR(Rohdaten!C359*100/Rohdaten!W359,"–")</f>
        <v>2166.66666666667</v>
      </c>
      <c r="T359" s="8" t="n">
        <f aca="false">IFERROR(Rohdaten!C359*100/Rohdaten!X359,"–")</f>
        <v>28.2608695652174</v>
      </c>
      <c r="U359" s="8" t="n">
        <f aca="false">IFERROR(Rohdaten!C359*100/Rohdaten!Y359,"–")</f>
        <v>240.740740740741</v>
      </c>
      <c r="V359" s="8" t="n">
        <f aca="false">IFERROR(Rohdaten!C359*100/Rohdaten!Z359,"–")</f>
        <v>3.61111111111111</v>
      </c>
    </row>
    <row r="360" customFormat="false" ht="15" hidden="false" customHeight="true" outlineLevel="0" collapsed="false">
      <c r="A360" s="4" t="str">
        <f aca="false">Rohdaten!A360</f>
        <v>Ziegenkäse, weich</v>
      </c>
      <c r="B360" s="8" t="n">
        <f aca="false">Rohdaten!C360</f>
        <v>5.5</v>
      </c>
      <c r="C360" s="8" t="n">
        <f aca="false">IFERROR(Rohdaten!C360*100/Rohdaten!G360,"–")</f>
        <v>2.08333333333333</v>
      </c>
      <c r="D360" s="8" t="n">
        <f aca="false">IFERROR(Rohdaten!C360*100/(Rohdaten!H360*9),"–")</f>
        <v>2.91005291005291</v>
      </c>
      <c r="E360" s="8" t="n">
        <f aca="false">IFERROR(Rohdaten!C360*100/(Rohdaten!I360*4),"–")</f>
        <v>7.63888888888889</v>
      </c>
      <c r="F360" s="8" t="n">
        <f aca="false">IFERROR(Rohdaten!C360*100/(Rohdaten!J360*4),"–")</f>
        <v>1375</v>
      </c>
      <c r="G360" s="9" t="n">
        <f aca="false">IFERROR(Rohdaten!C360*100/Rohdaten!K360,"–")</f>
        <v>3.05555555555556</v>
      </c>
      <c r="H360" s="8" t="str">
        <f aca="false">IFERROR(Rohdaten!C360*100/Rohdaten!L360,"–")</f>
        <v>–</v>
      </c>
      <c r="I360" s="9" t="n">
        <f aca="false">IFERROR(Rohdaten!C360*100/Rohdaten!M360,"–")</f>
        <v>2750</v>
      </c>
      <c r="J360" s="8" t="n">
        <f aca="false">IFERROR(Rohdaten!C360*100/Rohdaten!N360,"–")</f>
        <v>1833.33333333333</v>
      </c>
      <c r="K360" s="9" t="n">
        <f aca="false">IFERROR(Rohdaten!C360*100/Rohdaten!O360,"–")</f>
        <v>275</v>
      </c>
      <c r="L360" s="8" t="n">
        <f aca="false">IFERROR(Rohdaten!C360*100/Rohdaten!P360,"–")</f>
        <v>13750</v>
      </c>
      <c r="M360" s="8" t="n">
        <f aca="false">IFERROR(Rohdaten!C360*100/Rohdaten!Q360,"–")</f>
        <v>1833.33333333333</v>
      </c>
      <c r="N360" s="8" t="n">
        <f aca="false">IFERROR(Rohdaten!C360*100/Rohdaten!R360,"–")</f>
        <v>785.714285714286</v>
      </c>
      <c r="O360" s="8" t="n">
        <f aca="false">IFERROR(Rohdaten!C360*100/Rohdaten!S360,"–")</f>
        <v>5500</v>
      </c>
      <c r="P360" s="9" t="n">
        <f aca="false">IFERROR(Rohdaten!C360*100/Rohdaten!T360,"–")</f>
        <v>55</v>
      </c>
      <c r="Q360" s="9" t="n">
        <f aca="false">IFERROR(Rohdaten!C360*100/Rohdaten!U360,"–")</f>
        <v>2750</v>
      </c>
      <c r="R360" s="8" t="n">
        <f aca="false">IFERROR(Rohdaten!C360*100/Rohdaten!V360,"–")</f>
        <v>3.92857142857143</v>
      </c>
      <c r="S360" s="8" t="n">
        <f aca="false">IFERROR(Rohdaten!C360*100/Rohdaten!W360,"–")</f>
        <v>550</v>
      </c>
      <c r="T360" s="8" t="n">
        <f aca="false">IFERROR(Rohdaten!C360*100/Rohdaten!X360,"–")</f>
        <v>27.5</v>
      </c>
      <c r="U360" s="8" t="n">
        <f aca="false">IFERROR(Rohdaten!C360*100/Rohdaten!Y360,"–")</f>
        <v>785.714285714286</v>
      </c>
      <c r="V360" s="8" t="n">
        <f aca="false">IFERROR(Rohdaten!C360*100/Rohdaten!Z360,"–")</f>
        <v>3.92857142857143</v>
      </c>
    </row>
    <row r="361" customFormat="false" ht="15" hidden="false" customHeight="true" outlineLevel="0" collapsed="false">
      <c r="A361" s="4" t="str">
        <f aca="false">Rohdaten!A361</f>
        <v>Schafskäse</v>
      </c>
      <c r="B361" s="8" t="n">
        <f aca="false">Rohdaten!C361</f>
        <v>6</v>
      </c>
      <c r="C361" s="8" t="n">
        <f aca="false">IFERROR(Rohdaten!C361*100/Rohdaten!G361,"–")</f>
        <v>2.27272727272727</v>
      </c>
      <c r="D361" s="8" t="n">
        <f aca="false">IFERROR(Rohdaten!C361*100/(Rohdaten!H361*9),"–")</f>
        <v>3.17460317460317</v>
      </c>
      <c r="E361" s="8" t="n">
        <f aca="false">IFERROR(Rohdaten!C361*100/(Rohdaten!I361*4),"–")</f>
        <v>10.7142857142857</v>
      </c>
      <c r="F361" s="8" t="n">
        <f aca="false">IFERROR(Rohdaten!C361*100/(Rohdaten!J361*4),"–")</f>
        <v>37.5</v>
      </c>
      <c r="G361" s="9" t="n">
        <f aca="false">IFERROR(Rohdaten!C361*100/Rohdaten!K361,"–")</f>
        <v>3.33333333333333</v>
      </c>
      <c r="H361" s="8" t="str">
        <f aca="false">IFERROR(Rohdaten!C361*100/Rohdaten!L361,"–")</f>
        <v>–</v>
      </c>
      <c r="I361" s="9" t="n">
        <f aca="false">IFERROR(Rohdaten!C361*100/Rohdaten!M361,"–")</f>
        <v>3000</v>
      </c>
      <c r="J361" s="8" t="n">
        <f aca="false">IFERROR(Rohdaten!C361*100/Rohdaten!N361,"–")</f>
        <v>1500</v>
      </c>
      <c r="K361" s="9" t="n">
        <f aca="false">IFERROR(Rohdaten!C361*100/Rohdaten!O361,"–")</f>
        <v>300</v>
      </c>
      <c r="L361" s="8" t="n">
        <f aca="false">IFERROR(Rohdaten!C361*100/Rohdaten!P361,"–")</f>
        <v>20000</v>
      </c>
      <c r="M361" s="8" t="n">
        <f aca="false">IFERROR(Rohdaten!C361*100/Rohdaten!Q361,"–")</f>
        <v>2000</v>
      </c>
      <c r="N361" s="8" t="n">
        <f aca="false">IFERROR(Rohdaten!C361*100/Rohdaten!R361,"–")</f>
        <v>2000</v>
      </c>
      <c r="O361" s="8" t="n">
        <f aca="false">IFERROR(Rohdaten!C361*100/Rohdaten!S361,"–")</f>
        <v>4000</v>
      </c>
      <c r="P361" s="9" t="n">
        <f aca="false">IFERROR(Rohdaten!C361*100/Rohdaten!T361,"–")</f>
        <v>18.75</v>
      </c>
      <c r="Q361" s="9" t="n">
        <f aca="false">IFERROR(Rohdaten!C361*100/Rohdaten!U361,"–")</f>
        <v>461.538461538462</v>
      </c>
      <c r="R361" s="8" t="n">
        <f aca="false">IFERROR(Rohdaten!C361*100/Rohdaten!V361,"–")</f>
        <v>1.22448979591837</v>
      </c>
      <c r="S361" s="8" t="n">
        <f aca="false">IFERROR(Rohdaten!C361*100/Rohdaten!W361,"–")</f>
        <v>857.142857142857</v>
      </c>
      <c r="T361" s="8" t="n">
        <f aca="false">IFERROR(Rohdaten!C361*100/Rohdaten!X361,"–")</f>
        <v>30</v>
      </c>
      <c r="U361" s="8" t="n">
        <f aca="false">IFERROR(Rohdaten!C361*100/Rohdaten!Y361,"–")</f>
        <v>206.896551724138</v>
      </c>
      <c r="V361" s="8" t="n">
        <f aca="false">IFERROR(Rohdaten!C361*100/Rohdaten!Z361,"–")</f>
        <v>6.31578947368421</v>
      </c>
    </row>
    <row r="362" customFormat="false" ht="15" hidden="false" customHeight="true" outlineLevel="0" collapsed="false">
      <c r="A362" s="4" t="str">
        <f aca="false">Rohdaten!A362</f>
        <v>Hüttenkäse</v>
      </c>
      <c r="B362" s="8" t="n">
        <f aca="false">Rohdaten!C362</f>
        <v>3</v>
      </c>
      <c r="C362" s="8" t="n">
        <f aca="false">IFERROR(Rohdaten!C362*100/Rohdaten!G362,"–")</f>
        <v>3.06122448979592</v>
      </c>
      <c r="D362" s="8" t="n">
        <f aca="false">IFERROR(Rohdaten!C362*100/(Rohdaten!H362*9),"–")</f>
        <v>7.75193798449612</v>
      </c>
      <c r="E362" s="8" t="n">
        <f aca="false">IFERROR(Rohdaten!C362*100/(Rohdaten!I362*4),"–")</f>
        <v>6.81818181818182</v>
      </c>
      <c r="F362" s="8" t="n">
        <f aca="false">IFERROR(Rohdaten!C362*100/(Rohdaten!J362*4),"–")</f>
        <v>22.0588235294118</v>
      </c>
      <c r="G362" s="9" t="n">
        <f aca="false">IFERROR(Rohdaten!C362*100/Rohdaten!K362,"–")</f>
        <v>7.5</v>
      </c>
      <c r="H362" s="8" t="str">
        <f aca="false">IFERROR(Rohdaten!C362*100/Rohdaten!L362,"–")</f>
        <v>–</v>
      </c>
      <c r="I362" s="9" t="n">
        <f aca="false">IFERROR(Rohdaten!C362*100/Rohdaten!M362,"–")</f>
        <v>3000</v>
      </c>
      <c r="J362" s="8" t="n">
        <f aca="false">IFERROR(Rohdaten!C362*100/Rohdaten!N362,"–")</f>
        <v>3000</v>
      </c>
      <c r="K362" s="9" t="n">
        <f aca="false">IFERROR(Rohdaten!C362*100/Rohdaten!O362,"–")</f>
        <v>300</v>
      </c>
      <c r="L362" s="8" t="n">
        <f aca="false">IFERROR(Rohdaten!C362*100/Rohdaten!P362,"–")</f>
        <v>15000</v>
      </c>
      <c r="M362" s="8" t="n">
        <f aca="false">IFERROR(Rohdaten!C362*100/Rohdaten!Q362,"–")</f>
        <v>1875</v>
      </c>
      <c r="N362" s="8" t="n">
        <f aca="false">IFERROR(Rohdaten!C362*100/Rohdaten!R362,"–")</f>
        <v>3000</v>
      </c>
      <c r="O362" s="8" t="n">
        <f aca="false">IFERROR(Rohdaten!C362*100/Rohdaten!S362,"–")</f>
        <v>6000</v>
      </c>
      <c r="P362" s="9" t="n">
        <f aca="false">IFERROR(Rohdaten!C362*100/Rohdaten!T362,"–")</f>
        <v>25</v>
      </c>
      <c r="Q362" s="9" t="n">
        <f aca="false">IFERROR(Rohdaten!C362*100/Rohdaten!U362,"–")</f>
        <v>750</v>
      </c>
      <c r="R362" s="8" t="n">
        <f aca="false">IFERROR(Rohdaten!C362*100/Rohdaten!V362,"–")</f>
        <v>3.6144578313253</v>
      </c>
      <c r="S362" s="8" t="n">
        <f aca="false">IFERROR(Rohdaten!C362*100/Rohdaten!W362,"–")</f>
        <v>3000</v>
      </c>
      <c r="T362" s="8" t="n">
        <f aca="false">IFERROR(Rohdaten!C362*100/Rohdaten!X362,"–")</f>
        <v>37.5</v>
      </c>
      <c r="U362" s="8" t="n">
        <f aca="false">IFERROR(Rohdaten!C362*100/Rohdaten!Y362,"–")</f>
        <v>750</v>
      </c>
      <c r="V362" s="8" t="n">
        <f aca="false">IFERROR(Rohdaten!C362*100/Rohdaten!Z362,"–")</f>
        <v>3.48837209302326</v>
      </c>
    </row>
    <row r="363" customFormat="false" ht="15" hidden="false" customHeight="true" outlineLevel="0" collapsed="false">
      <c r="A363" s="4" t="str">
        <f aca="false">Rohdaten!A363</f>
        <v>Schmelzkäse</v>
      </c>
      <c r="B363" s="8" t="n">
        <f aca="false">Rohdaten!C363</f>
        <v>5</v>
      </c>
      <c r="C363" s="8" t="n">
        <f aca="false">IFERROR(Rohdaten!C363*100/Rohdaten!G363,"–")</f>
        <v>1.78571428571429</v>
      </c>
      <c r="D363" s="8" t="n">
        <f aca="false">IFERROR(Rohdaten!C363*100/(Rohdaten!H363*9),"–")</f>
        <v>2.52525252525253</v>
      </c>
      <c r="E363" s="8" t="n">
        <f aca="false">IFERROR(Rohdaten!C363*100/(Rohdaten!I363*4),"–")</f>
        <v>7.8125</v>
      </c>
      <c r="F363" s="8" t="n">
        <f aca="false">IFERROR(Rohdaten!C363*100/(Rohdaten!J363*4),"–")</f>
        <v>25</v>
      </c>
      <c r="G363" s="9" t="n">
        <f aca="false">IFERROR(Rohdaten!C363*100/Rohdaten!K363,"–")</f>
        <v>2.77777777777778</v>
      </c>
      <c r="H363" s="8" t="str">
        <f aca="false">IFERROR(Rohdaten!C363*100/Rohdaten!L363,"–")</f>
        <v>–</v>
      </c>
      <c r="I363" s="9" t="n">
        <f aca="false">IFERROR(Rohdaten!C363*100/Rohdaten!M363,"–")</f>
        <v>1666.66666666667</v>
      </c>
      <c r="J363" s="8" t="n">
        <f aca="false">IFERROR(Rohdaten!C363*100/Rohdaten!N363,"–")</f>
        <v>1666.66666666667</v>
      </c>
      <c r="K363" s="9" t="n">
        <f aca="false">IFERROR(Rohdaten!C363*100/Rohdaten!O363,"–")</f>
        <v>250</v>
      </c>
      <c r="L363" s="8" t="n">
        <f aca="false">IFERROR(Rohdaten!C363*100/Rohdaten!P363,"–")</f>
        <v>25000</v>
      </c>
      <c r="M363" s="8" t="n">
        <f aca="false">IFERROR(Rohdaten!C363*100/Rohdaten!Q363,"–")</f>
        <v>2000</v>
      </c>
      <c r="N363" s="8" t="n">
        <f aca="false">IFERROR(Rohdaten!C363*100/Rohdaten!R363,"–")</f>
        <v>5000</v>
      </c>
      <c r="O363" s="8" t="n">
        <f aca="false">IFERROR(Rohdaten!C363*100/Rohdaten!S363,"–")</f>
        <v>8333.33333333333</v>
      </c>
      <c r="P363" s="9" t="n">
        <f aca="false">IFERROR(Rohdaten!C363*100/Rohdaten!T363,"–")</f>
        <v>50</v>
      </c>
      <c r="Q363" s="9" t="n">
        <f aca="false">IFERROR(Rohdaten!C363*100/Rohdaten!U363,"–")</f>
        <v>500</v>
      </c>
      <c r="R363" s="8" t="n">
        <f aca="false">IFERROR(Rohdaten!C363*100/Rohdaten!V363,"–")</f>
        <v>1</v>
      </c>
      <c r="S363" s="8" t="n">
        <f aca="false">IFERROR(Rohdaten!C363*100/Rohdaten!W363,"–")</f>
        <v>1666.66666666667</v>
      </c>
      <c r="T363" s="8" t="n">
        <f aca="false">IFERROR(Rohdaten!C363*100/Rohdaten!X363,"–")</f>
        <v>25</v>
      </c>
      <c r="U363" s="8" t="n">
        <f aca="false">IFERROR(Rohdaten!C363*100/Rohdaten!Y363,"–")</f>
        <v>200</v>
      </c>
      <c r="V363" s="8" t="n">
        <f aca="false">IFERROR(Rohdaten!C363*100/Rohdaten!Z363,"–")</f>
        <v>3.33333333333333</v>
      </c>
    </row>
    <row r="364" customFormat="false" ht="15" hidden="false" customHeight="true" outlineLevel="0" collapsed="false">
      <c r="A364" s="4" t="str">
        <f aca="false">Rohdaten!A364</f>
        <v>Tilsiter</v>
      </c>
      <c r="B364" s="8" t="n">
        <f aca="false">Rohdaten!C364</f>
        <v>5.8</v>
      </c>
      <c r="C364" s="8" t="n">
        <f aca="false">IFERROR(Rohdaten!C364*100/Rohdaten!G364,"–")</f>
        <v>1.70588235294118</v>
      </c>
      <c r="D364" s="8" t="n">
        <f aca="false">IFERROR(Rohdaten!C364*100/(Rohdaten!H364*9),"–")</f>
        <v>2.38683127572016</v>
      </c>
      <c r="E364" s="8" t="n">
        <f aca="false">IFERROR(Rohdaten!C364*100/(Rohdaten!I364*4),"–")</f>
        <v>5.8</v>
      </c>
      <c r="F364" s="8" t="n">
        <f aca="false">IFERROR(Rohdaten!C364*100/(Rohdaten!J364*4),"–")</f>
        <v>290</v>
      </c>
      <c r="G364" s="9" t="n">
        <f aca="false">IFERROR(Rohdaten!C364*100/Rohdaten!K364,"–")</f>
        <v>2.9</v>
      </c>
      <c r="H364" s="8" t="str">
        <f aca="false">IFERROR(Rohdaten!C364*100/Rohdaten!L364,"–")</f>
        <v>–</v>
      </c>
      <c r="I364" s="9" t="n">
        <f aca="false">IFERROR(Rohdaten!C364*100/Rohdaten!M364,"–")</f>
        <v>1160</v>
      </c>
      <c r="J364" s="8" t="n">
        <f aca="false">IFERROR(Rohdaten!C364*100/Rohdaten!N364,"–")</f>
        <v>1160</v>
      </c>
      <c r="K364" s="9" t="n">
        <f aca="false">IFERROR(Rohdaten!C364*100/Rohdaten!O364,"–")</f>
        <v>290</v>
      </c>
      <c r="L364" s="8" t="n">
        <f aca="false">IFERROR(Rohdaten!C364*100/Rohdaten!P364,"–")</f>
        <v>19333.3333333333</v>
      </c>
      <c r="M364" s="8" t="n">
        <f aca="false">IFERROR(Rohdaten!C364*100/Rohdaten!Q364,"–")</f>
        <v>1657.14285714286</v>
      </c>
      <c r="N364" s="8" t="n">
        <f aca="false">IFERROR(Rohdaten!C364*100/Rohdaten!R364,"–")</f>
        <v>5800</v>
      </c>
      <c r="O364" s="8" t="n">
        <f aca="false">IFERROR(Rohdaten!C364*100/Rohdaten!S364,"–")</f>
        <v>7250</v>
      </c>
      <c r="P364" s="9" t="n">
        <f aca="false">IFERROR(Rohdaten!C364*100/Rohdaten!T364,"–")</f>
        <v>32.2222222222222</v>
      </c>
      <c r="Q364" s="9" t="n">
        <f aca="false">IFERROR(Rohdaten!C364*100/Rohdaten!U364,"–")</f>
        <v>386.666666666667</v>
      </c>
      <c r="R364" s="8" t="n">
        <f aca="false">IFERROR(Rohdaten!C364*100/Rohdaten!V364,"–")</f>
        <v>0.725</v>
      </c>
      <c r="S364" s="8" t="n">
        <f aca="false">IFERROR(Rohdaten!C364*100/Rohdaten!W364,"–")</f>
        <v>1933.33333333333</v>
      </c>
      <c r="T364" s="8" t="n">
        <f aca="false">IFERROR(Rohdaten!C364*100/Rohdaten!X364,"–")</f>
        <v>19.3333333333333</v>
      </c>
      <c r="U364" s="8" t="n">
        <f aca="false">IFERROR(Rohdaten!C364*100/Rohdaten!Y364,"–")</f>
        <v>165.714285714286</v>
      </c>
      <c r="V364" s="8" t="n">
        <f aca="false">IFERROR(Rohdaten!C364*100/Rohdaten!Z364,"–")</f>
        <v>5.27272727272727</v>
      </c>
    </row>
    <row r="365" customFormat="false" ht="15" hidden="false" customHeight="true" outlineLevel="0" collapsed="false">
      <c r="A365" s="4" t="str">
        <f aca="false">Rohdaten!A365</f>
        <v>Bergkäse</v>
      </c>
      <c r="B365" s="8" t="n">
        <f aca="false">Rohdaten!C365</f>
        <v>6.2</v>
      </c>
      <c r="C365" s="8" t="n">
        <f aca="false">IFERROR(Rohdaten!C365*100/Rohdaten!G365,"–")</f>
        <v>1.58974358974359</v>
      </c>
      <c r="D365" s="8" t="n">
        <f aca="false">IFERROR(Rohdaten!C365*100/(Rohdaten!H365*9),"–")</f>
        <v>2.22222222222222</v>
      </c>
      <c r="E365" s="8" t="n">
        <f aca="false">IFERROR(Rohdaten!C365*100/(Rohdaten!I365*4),"–")</f>
        <v>5.74074074074074</v>
      </c>
      <c r="F365" s="8" t="n">
        <f aca="false">IFERROR(Rohdaten!C365*100/(Rohdaten!J365*4),"–")</f>
        <v>310</v>
      </c>
      <c r="G365" s="9" t="n">
        <f aca="false">IFERROR(Rohdaten!C365*100/Rohdaten!K365,"–")</f>
        <v>2.81818181818182</v>
      </c>
      <c r="H365" s="8" t="str">
        <f aca="false">IFERROR(Rohdaten!C365*100/Rohdaten!L365,"–")</f>
        <v>–</v>
      </c>
      <c r="I365" s="9" t="n">
        <f aca="false">IFERROR(Rohdaten!C365*100/Rohdaten!M365,"–")</f>
        <v>1033.33333333333</v>
      </c>
      <c r="J365" s="8" t="n">
        <f aca="false">IFERROR(Rohdaten!C365*100/Rohdaten!N365,"–")</f>
        <v>1240</v>
      </c>
      <c r="K365" s="9" t="n">
        <f aca="false">IFERROR(Rohdaten!C365*100/Rohdaten!O365,"–")</f>
        <v>310</v>
      </c>
      <c r="L365" s="8" t="n">
        <f aca="false">IFERROR(Rohdaten!C365*100/Rohdaten!P365,"–")</f>
        <v>20666.6666666667</v>
      </c>
      <c r="M365" s="8" t="n">
        <f aca="false">IFERROR(Rohdaten!C365*100/Rohdaten!Q365,"–")</f>
        <v>1771.42857142857</v>
      </c>
      <c r="N365" s="8" t="n">
        <f aca="false">IFERROR(Rohdaten!C365*100/Rohdaten!R365,"–")</f>
        <v>6200</v>
      </c>
      <c r="O365" s="8" t="n">
        <f aca="false">IFERROR(Rohdaten!C365*100/Rohdaten!S365,"–")</f>
        <v>7750</v>
      </c>
      <c r="P365" s="9" t="n">
        <f aca="false">IFERROR(Rohdaten!C365*100/Rohdaten!T365,"–")</f>
        <v>34.4444444444444</v>
      </c>
      <c r="Q365" s="9" t="n">
        <f aca="false">IFERROR(Rohdaten!C365*100/Rohdaten!U365,"–")</f>
        <v>387.5</v>
      </c>
      <c r="R365" s="8" t="n">
        <f aca="false">IFERROR(Rohdaten!C365*100/Rohdaten!V365,"–")</f>
        <v>0.688888888888889</v>
      </c>
      <c r="S365" s="8" t="n">
        <f aca="false">IFERROR(Rohdaten!C365*100/Rohdaten!W365,"–")</f>
        <v>2066.66666666667</v>
      </c>
      <c r="T365" s="8" t="n">
        <f aca="false">IFERROR(Rohdaten!C365*100/Rohdaten!X365,"–")</f>
        <v>19.375</v>
      </c>
      <c r="U365" s="8" t="n">
        <f aca="false">IFERROR(Rohdaten!C365*100/Rohdaten!Y365,"–")</f>
        <v>172.222222222222</v>
      </c>
      <c r="V365" s="8" t="n">
        <f aca="false">IFERROR(Rohdaten!C365*100/Rohdaten!Z365,"–")</f>
        <v>6.2</v>
      </c>
    </row>
    <row r="366" customFormat="false" ht="15" hidden="false" customHeight="true" outlineLevel="0" collapsed="false">
      <c r="A366" s="4" t="str">
        <f aca="false">Rohdaten!A366</f>
        <v>Halloumi</v>
      </c>
      <c r="B366" s="8" t="n">
        <f aca="false">Rohdaten!C366</f>
        <v>6</v>
      </c>
      <c r="C366" s="8" t="n">
        <f aca="false">IFERROR(Rohdaten!C366*100/Rohdaten!G366,"–")</f>
        <v>1.81818181818182</v>
      </c>
      <c r="D366" s="8" t="n">
        <f aca="false">IFERROR(Rohdaten!C366*100/(Rohdaten!H366*9),"–")</f>
        <v>2.66666666666667</v>
      </c>
      <c r="E366" s="8" t="n">
        <f aca="false">IFERROR(Rohdaten!C366*100/(Rohdaten!I366*4),"–")</f>
        <v>6</v>
      </c>
      <c r="F366" s="8" t="n">
        <f aca="false">IFERROR(Rohdaten!C366*100/(Rohdaten!J366*4),"–")</f>
        <v>75</v>
      </c>
      <c r="G366" s="9" t="n">
        <f aca="false">IFERROR(Rohdaten!C366*100/Rohdaten!K366,"–")</f>
        <v>4</v>
      </c>
      <c r="H366" s="8" t="str">
        <f aca="false">IFERROR(Rohdaten!C366*100/Rohdaten!L366,"–")</f>
        <v>–</v>
      </c>
      <c r="I366" s="9" t="n">
        <f aca="false">IFERROR(Rohdaten!C366*100/Rohdaten!M366,"–")</f>
        <v>2000</v>
      </c>
      <c r="J366" s="8" t="n">
        <f aca="false">IFERROR(Rohdaten!C366*100/Rohdaten!N366,"–")</f>
        <v>2000</v>
      </c>
      <c r="K366" s="9" t="n">
        <f aca="false">IFERROR(Rohdaten!C366*100/Rohdaten!O366,"–")</f>
        <v>300</v>
      </c>
      <c r="L366" s="8" t="n">
        <f aca="false">IFERROR(Rohdaten!C366*100/Rohdaten!P366,"–")</f>
        <v>30000</v>
      </c>
      <c r="M366" s="8" t="n">
        <f aca="false">IFERROR(Rohdaten!C366*100/Rohdaten!Q366,"–")</f>
        <v>2000</v>
      </c>
      <c r="N366" s="8" t="n">
        <f aca="false">IFERROR(Rohdaten!C366*100/Rohdaten!R366,"–")</f>
        <v>6000</v>
      </c>
      <c r="O366" s="8" t="n">
        <f aca="false">IFERROR(Rohdaten!C366*100/Rohdaten!S366,"–")</f>
        <v>10000</v>
      </c>
      <c r="P366" s="9" t="n">
        <f aca="false">IFERROR(Rohdaten!C366*100/Rohdaten!T366,"–")</f>
        <v>60</v>
      </c>
      <c r="Q366" s="9" t="n">
        <f aca="false">IFERROR(Rohdaten!C366*100/Rohdaten!U366,"–")</f>
        <v>600</v>
      </c>
      <c r="R366" s="8" t="n">
        <f aca="false">IFERROR(Rohdaten!C366*100/Rohdaten!V366,"–")</f>
        <v>0.857142857142857</v>
      </c>
      <c r="S366" s="8" t="n">
        <f aca="false">IFERROR(Rohdaten!C366*100/Rohdaten!W366,"–")</f>
        <v>1500</v>
      </c>
      <c r="T366" s="8" t="n">
        <f aca="false">IFERROR(Rohdaten!C366*100/Rohdaten!X366,"–")</f>
        <v>24</v>
      </c>
      <c r="U366" s="8" t="n">
        <f aca="false">IFERROR(Rohdaten!C366*100/Rohdaten!Y366,"–")</f>
        <v>214.285714285714</v>
      </c>
      <c r="V366" s="8" t="n">
        <f aca="false">IFERROR(Rohdaten!C366*100/Rohdaten!Z366,"–")</f>
        <v>6.31578947368421</v>
      </c>
    </row>
    <row r="367" customFormat="false" ht="15" hidden="false" customHeight="true" outlineLevel="0" collapsed="false">
      <c r="A367" s="4" t="str">
        <f aca="false">Rohdaten!A367</f>
        <v>Provolone</v>
      </c>
      <c r="B367" s="8" t="n">
        <f aca="false">Rohdaten!C367</f>
        <v>6</v>
      </c>
      <c r="C367" s="8" t="n">
        <f aca="false">IFERROR(Rohdaten!C367*100/Rohdaten!G367,"–")</f>
        <v>1.70940170940171</v>
      </c>
      <c r="D367" s="8" t="n">
        <f aca="false">IFERROR(Rohdaten!C367*100/(Rohdaten!H367*9),"–")</f>
        <v>2.46913580246914</v>
      </c>
      <c r="E367" s="8" t="n">
        <f aca="false">IFERROR(Rohdaten!C367*100/(Rohdaten!I367*4),"–")</f>
        <v>5.76923076923077</v>
      </c>
      <c r="F367" s="8" t="n">
        <f aca="false">IFERROR(Rohdaten!C367*100/(Rohdaten!J367*4),"–")</f>
        <v>71.4285714285714</v>
      </c>
      <c r="G367" s="9" t="n">
        <f aca="false">IFERROR(Rohdaten!C367*100/Rohdaten!K367,"–")</f>
        <v>3</v>
      </c>
      <c r="H367" s="8" t="str">
        <f aca="false">IFERROR(Rohdaten!C367*100/Rohdaten!L367,"–")</f>
        <v>–</v>
      </c>
      <c r="I367" s="9" t="n">
        <f aca="false">IFERROR(Rohdaten!C367*100/Rohdaten!M367,"–")</f>
        <v>1200</v>
      </c>
      <c r="J367" s="8" t="n">
        <f aca="false">IFERROR(Rohdaten!C367*100/Rohdaten!N367,"–")</f>
        <v>1200</v>
      </c>
      <c r="K367" s="9" t="n">
        <f aca="false">IFERROR(Rohdaten!C367*100/Rohdaten!O367,"–")</f>
        <v>300</v>
      </c>
      <c r="L367" s="8" t="n">
        <f aca="false">IFERROR(Rohdaten!C367*100/Rohdaten!P367,"–")</f>
        <v>20000</v>
      </c>
      <c r="M367" s="8" t="n">
        <f aca="false">IFERROR(Rohdaten!C367*100/Rohdaten!Q367,"–")</f>
        <v>1764.70588235294</v>
      </c>
      <c r="N367" s="8" t="n">
        <f aca="false">IFERROR(Rohdaten!C367*100/Rohdaten!R367,"–")</f>
        <v>6000</v>
      </c>
      <c r="O367" s="8" t="n">
        <f aca="false">IFERROR(Rohdaten!C367*100/Rohdaten!S367,"–")</f>
        <v>7500</v>
      </c>
      <c r="P367" s="9" t="n">
        <f aca="false">IFERROR(Rohdaten!C367*100/Rohdaten!T367,"–")</f>
        <v>33.3333333333333</v>
      </c>
      <c r="Q367" s="9" t="n">
        <f aca="false">IFERROR(Rohdaten!C367*100/Rohdaten!U367,"–")</f>
        <v>428.571428571429</v>
      </c>
      <c r="R367" s="8" t="n">
        <f aca="false">IFERROR(Rohdaten!C367*100/Rohdaten!V367,"–")</f>
        <v>0.793650793650794</v>
      </c>
      <c r="S367" s="8" t="n">
        <f aca="false">IFERROR(Rohdaten!C367*100/Rohdaten!W367,"–")</f>
        <v>1200</v>
      </c>
      <c r="T367" s="8" t="n">
        <f aca="false">IFERROR(Rohdaten!C367*100/Rohdaten!X367,"–")</f>
        <v>20</v>
      </c>
      <c r="U367" s="8" t="n">
        <f aca="false">IFERROR(Rohdaten!C367*100/Rohdaten!Y367,"–")</f>
        <v>171.428571428571</v>
      </c>
      <c r="V367" s="8" t="n">
        <f aca="false">IFERROR(Rohdaten!C367*100/Rohdaten!Z367,"–")</f>
        <v>4.28571428571429</v>
      </c>
    </row>
    <row r="368" customFormat="false" ht="15" hidden="false" customHeight="true" outlineLevel="0" collapsed="false">
      <c r="A368" s="4" t="str">
        <f aca="false">Rohdaten!A368</f>
        <v>Mascarpone</v>
      </c>
      <c r="B368" s="8" t="n">
        <f aca="false">Rohdaten!C368</f>
        <v>4.5</v>
      </c>
      <c r="C368" s="8" t="n">
        <f aca="false">IFERROR(Rohdaten!C368*100/Rohdaten!G368,"–")</f>
        <v>1.04895104895105</v>
      </c>
      <c r="D368" s="8" t="n">
        <f aca="false">IFERROR(Rohdaten!C368*100/(Rohdaten!H368*9),"–")</f>
        <v>1.13636363636364</v>
      </c>
      <c r="E368" s="8" t="n">
        <f aca="false">IFERROR(Rohdaten!C368*100/(Rohdaten!I368*4),"–")</f>
        <v>23.4375</v>
      </c>
      <c r="F368" s="8" t="n">
        <f aca="false">IFERROR(Rohdaten!C368*100/(Rohdaten!J368*4),"–")</f>
        <v>23.4375</v>
      </c>
      <c r="G368" s="9" t="n">
        <f aca="false">IFERROR(Rohdaten!C368*100/Rohdaten!K368,"–")</f>
        <v>1.125</v>
      </c>
      <c r="H368" s="8" t="str">
        <f aca="false">IFERROR(Rohdaten!C368*100/Rohdaten!L368,"–")</f>
        <v>–</v>
      </c>
      <c r="I368" s="9" t="n">
        <f aca="false">IFERROR(Rohdaten!C368*100/Rohdaten!M368,"–")</f>
        <v>1500</v>
      </c>
      <c r="J368" s="8" t="n">
        <f aca="false">IFERROR(Rohdaten!C368*100/Rohdaten!N368,"–")</f>
        <v>1500</v>
      </c>
      <c r="K368" s="9" t="n">
        <f aca="false">IFERROR(Rohdaten!C368*100/Rohdaten!O368,"–")</f>
        <v>225</v>
      </c>
      <c r="L368" s="8" t="n">
        <f aca="false">IFERROR(Rohdaten!C368*100/Rohdaten!P368,"–")</f>
        <v>22500</v>
      </c>
      <c r="M368" s="8" t="n">
        <f aca="false">IFERROR(Rohdaten!C368*100/Rohdaten!Q368,"–")</f>
        <v>4500</v>
      </c>
      <c r="N368" s="8" t="n">
        <f aca="false">IFERROR(Rohdaten!C368*100/Rohdaten!R368,"–")</f>
        <v>4500</v>
      </c>
      <c r="O368" s="8" t="n">
        <f aca="false">IFERROR(Rohdaten!C368*100/Rohdaten!S368,"–")</f>
        <v>15000</v>
      </c>
      <c r="P368" s="9" t="n">
        <f aca="false">IFERROR(Rohdaten!C368*100/Rohdaten!T368,"–")</f>
        <v>90</v>
      </c>
      <c r="Q368" s="9" t="n">
        <f aca="false">IFERROR(Rohdaten!C368*100/Rohdaten!U368,"–")</f>
        <v>2250</v>
      </c>
      <c r="R368" s="8" t="n">
        <f aca="false">IFERROR(Rohdaten!C368*100/Rohdaten!V368,"–")</f>
        <v>5</v>
      </c>
      <c r="S368" s="8" t="n">
        <f aca="false">IFERROR(Rohdaten!C368*100/Rohdaten!W368,"–")</f>
        <v>4500</v>
      </c>
      <c r="T368" s="8" t="n">
        <f aca="false">IFERROR(Rohdaten!C368*100/Rohdaten!X368,"–")</f>
        <v>56.25</v>
      </c>
      <c r="U368" s="8" t="n">
        <f aca="false">IFERROR(Rohdaten!C368*100/Rohdaten!Y368,"–")</f>
        <v>1125</v>
      </c>
      <c r="V368" s="8" t="n">
        <f aca="false">IFERROR(Rohdaten!C368*100/Rohdaten!Z368,"–")</f>
        <v>5.625</v>
      </c>
    </row>
    <row r="369" customFormat="false" ht="15" hidden="false" customHeight="true" outlineLevel="0" collapsed="false">
      <c r="A369" s="4" t="str">
        <f aca="false">Rohdaten!A369</f>
        <v>Frischkäse, körnig (Cottage-Art)</v>
      </c>
      <c r="B369" s="8" t="n">
        <f aca="false">Rohdaten!C369</f>
        <v>3</v>
      </c>
      <c r="C369" s="8" t="n">
        <f aca="false">IFERROR(Rohdaten!C369*100/Rohdaten!G369,"–")</f>
        <v>3.06122448979592</v>
      </c>
      <c r="D369" s="8" t="n">
        <f aca="false">IFERROR(Rohdaten!C369*100/(Rohdaten!H369*9),"–")</f>
        <v>7.75193798449612</v>
      </c>
      <c r="E369" s="8" t="n">
        <f aca="false">IFERROR(Rohdaten!C369*100/(Rohdaten!I369*4),"–")</f>
        <v>6.81818181818182</v>
      </c>
      <c r="F369" s="8" t="n">
        <f aca="false">IFERROR(Rohdaten!C369*100/(Rohdaten!J369*4),"–")</f>
        <v>22.0588235294118</v>
      </c>
      <c r="G369" s="9" t="n">
        <f aca="false">IFERROR(Rohdaten!C369*100/Rohdaten!K369,"–")</f>
        <v>7.5</v>
      </c>
      <c r="H369" s="8" t="str">
        <f aca="false">IFERROR(Rohdaten!C369*100/Rohdaten!L369,"–")</f>
        <v>–</v>
      </c>
      <c r="I369" s="9" t="n">
        <f aca="false">IFERROR(Rohdaten!C369*100/Rohdaten!M369,"–")</f>
        <v>3000</v>
      </c>
      <c r="J369" s="8" t="n">
        <f aca="false">IFERROR(Rohdaten!C369*100/Rohdaten!N369,"–")</f>
        <v>3000</v>
      </c>
      <c r="K369" s="9" t="n">
        <f aca="false">IFERROR(Rohdaten!C369*100/Rohdaten!O369,"–")</f>
        <v>300</v>
      </c>
      <c r="L369" s="8" t="n">
        <f aca="false">IFERROR(Rohdaten!C369*100/Rohdaten!P369,"–")</f>
        <v>15000</v>
      </c>
      <c r="M369" s="8" t="n">
        <f aca="false">IFERROR(Rohdaten!C369*100/Rohdaten!Q369,"–")</f>
        <v>1875</v>
      </c>
      <c r="N369" s="8" t="n">
        <f aca="false">IFERROR(Rohdaten!C369*100/Rohdaten!R369,"–")</f>
        <v>3000</v>
      </c>
      <c r="O369" s="8" t="n">
        <f aca="false">IFERROR(Rohdaten!C369*100/Rohdaten!S369,"–")</f>
        <v>6000</v>
      </c>
      <c r="P369" s="9" t="n">
        <f aca="false">IFERROR(Rohdaten!C369*100/Rohdaten!T369,"–")</f>
        <v>25</v>
      </c>
      <c r="Q369" s="9" t="n">
        <f aca="false">IFERROR(Rohdaten!C369*100/Rohdaten!U369,"–")</f>
        <v>750</v>
      </c>
      <c r="R369" s="8" t="n">
        <f aca="false">IFERROR(Rohdaten!C369*100/Rohdaten!V369,"–")</f>
        <v>3.6144578313253</v>
      </c>
      <c r="S369" s="8" t="n">
        <f aca="false">IFERROR(Rohdaten!C369*100/Rohdaten!W369,"–")</f>
        <v>3000</v>
      </c>
      <c r="T369" s="8" t="n">
        <f aca="false">IFERROR(Rohdaten!C369*100/Rohdaten!X369,"–")</f>
        <v>37.5</v>
      </c>
      <c r="U369" s="8" t="n">
        <f aca="false">IFERROR(Rohdaten!C369*100/Rohdaten!Y369,"–")</f>
        <v>750</v>
      </c>
      <c r="V369" s="8" t="n">
        <f aca="false">IFERROR(Rohdaten!C369*100/Rohdaten!Z369,"–")</f>
        <v>3.48837209302326</v>
      </c>
    </row>
    <row r="370" customFormat="false" ht="15" hidden="false" customHeight="true" outlineLevel="0" collapsed="false">
      <c r="A370" s="4" t="str">
        <f aca="false">Rohdaten!A370</f>
        <v>Räucherkäse</v>
      </c>
      <c r="B370" s="8" t="n">
        <f aca="false">Rohdaten!C370</f>
        <v>5.5</v>
      </c>
      <c r="C370" s="8" t="n">
        <f aca="false">IFERROR(Rohdaten!C370*100/Rohdaten!G370,"–")</f>
        <v>1.83333333333333</v>
      </c>
      <c r="D370" s="8" t="n">
        <f aca="false">IFERROR(Rohdaten!C370*100/(Rohdaten!H370*9),"–")</f>
        <v>2.5462962962963</v>
      </c>
      <c r="E370" s="8" t="n">
        <f aca="false">IFERROR(Rohdaten!C370*100/(Rohdaten!I370*4),"–")</f>
        <v>6.875</v>
      </c>
      <c r="F370" s="8" t="n">
        <f aca="false">IFERROR(Rohdaten!C370*100/(Rohdaten!J370*4),"–")</f>
        <v>275</v>
      </c>
      <c r="G370" s="9" t="n">
        <f aca="false">IFERROR(Rohdaten!C370*100/Rohdaten!K370,"–")</f>
        <v>2.75</v>
      </c>
      <c r="H370" s="8" t="str">
        <f aca="false">IFERROR(Rohdaten!C370*100/Rohdaten!L370,"–")</f>
        <v>–</v>
      </c>
      <c r="I370" s="9" t="n">
        <f aca="false">IFERROR(Rohdaten!C370*100/Rohdaten!M370,"–")</f>
        <v>1100</v>
      </c>
      <c r="J370" s="8" t="n">
        <f aca="false">IFERROR(Rohdaten!C370*100/Rohdaten!N370,"–")</f>
        <v>1375</v>
      </c>
      <c r="K370" s="9" t="n">
        <f aca="false">IFERROR(Rohdaten!C370*100/Rohdaten!O370,"–")</f>
        <v>275</v>
      </c>
      <c r="L370" s="8" t="n">
        <f aca="false">IFERROR(Rohdaten!C370*100/Rohdaten!P370,"–")</f>
        <v>18333.3333333333</v>
      </c>
      <c r="M370" s="8" t="n">
        <f aca="false">IFERROR(Rohdaten!C370*100/Rohdaten!Q370,"–")</f>
        <v>1833.33333333333</v>
      </c>
      <c r="N370" s="8" t="n">
        <f aca="false">IFERROR(Rohdaten!C370*100/Rohdaten!R370,"–")</f>
        <v>2750</v>
      </c>
      <c r="O370" s="8" t="n">
        <f aca="false">IFERROR(Rohdaten!C370*100/Rohdaten!S370,"–")</f>
        <v>6875</v>
      </c>
      <c r="P370" s="9" t="n">
        <f aca="false">IFERROR(Rohdaten!C370*100/Rohdaten!T370,"–")</f>
        <v>36.6666666666667</v>
      </c>
      <c r="Q370" s="9" t="n">
        <f aca="false">IFERROR(Rohdaten!C370*100/Rohdaten!U370,"–")</f>
        <v>458.333333333333</v>
      </c>
      <c r="R370" s="8" t="n">
        <f aca="false">IFERROR(Rohdaten!C370*100/Rohdaten!V370,"–")</f>
        <v>1</v>
      </c>
      <c r="S370" s="8" t="n">
        <f aca="false">IFERROR(Rohdaten!C370*100/Rohdaten!W370,"–")</f>
        <v>1375</v>
      </c>
      <c r="T370" s="8" t="n">
        <f aca="false">IFERROR(Rohdaten!C370*100/Rohdaten!X370,"–")</f>
        <v>22</v>
      </c>
      <c r="U370" s="8" t="n">
        <f aca="false">IFERROR(Rohdaten!C370*100/Rohdaten!Y370,"–")</f>
        <v>183.333333333333</v>
      </c>
      <c r="V370" s="8" t="n">
        <f aca="false">IFERROR(Rohdaten!C370*100/Rohdaten!Z370,"–")</f>
        <v>4.58333333333333</v>
      </c>
    </row>
    <row r="371" customFormat="false" ht="15" hidden="false" customHeight="true" outlineLevel="0" collapsed="false">
      <c r="A371" s="4" t="str">
        <f aca="false">Rohdaten!A371</f>
        <v>Appenzeller/Raclette-Käse</v>
      </c>
      <c r="B371" s="8" t="n">
        <f aca="false">Rohdaten!C371</f>
        <v>6.2</v>
      </c>
      <c r="C371" s="8" t="n">
        <f aca="false">IFERROR(Rohdaten!C371*100/Rohdaten!G371,"–")</f>
        <v>1.63157894736842</v>
      </c>
      <c r="D371" s="8" t="n">
        <f aca="false">IFERROR(Rohdaten!C371*100/(Rohdaten!H371*9),"–")</f>
        <v>2.22222222222222</v>
      </c>
      <c r="E371" s="8" t="n">
        <f aca="false">IFERROR(Rohdaten!C371*100/(Rohdaten!I371*4),"–")</f>
        <v>5.96153846153846</v>
      </c>
      <c r="F371" s="8" t="n">
        <f aca="false">IFERROR(Rohdaten!C371*100/(Rohdaten!J371*4),"–")</f>
        <v>310</v>
      </c>
      <c r="G371" s="9" t="n">
        <f aca="false">IFERROR(Rohdaten!C371*100/Rohdaten!K371,"–")</f>
        <v>2.81818181818182</v>
      </c>
      <c r="H371" s="8" t="str">
        <f aca="false">IFERROR(Rohdaten!C371*100/Rohdaten!L371,"–")</f>
        <v>–</v>
      </c>
      <c r="I371" s="9" t="n">
        <f aca="false">IFERROR(Rohdaten!C371*100/Rohdaten!M371,"–")</f>
        <v>1033.33333333333</v>
      </c>
      <c r="J371" s="8" t="n">
        <f aca="false">IFERROR(Rohdaten!C371*100/Rohdaten!N371,"–")</f>
        <v>1240</v>
      </c>
      <c r="K371" s="9" t="n">
        <f aca="false">IFERROR(Rohdaten!C371*100/Rohdaten!O371,"–")</f>
        <v>310</v>
      </c>
      <c r="L371" s="8" t="n">
        <f aca="false">IFERROR(Rohdaten!C371*100/Rohdaten!P371,"–")</f>
        <v>20666.6666666667</v>
      </c>
      <c r="M371" s="8" t="n">
        <f aca="false">IFERROR(Rohdaten!C371*100/Rohdaten!Q371,"–")</f>
        <v>1771.42857142857</v>
      </c>
      <c r="N371" s="8" t="n">
        <f aca="false">IFERROR(Rohdaten!C371*100/Rohdaten!R371,"–")</f>
        <v>6200</v>
      </c>
      <c r="O371" s="8" t="n">
        <f aca="false">IFERROR(Rohdaten!C371*100/Rohdaten!S371,"–")</f>
        <v>7750</v>
      </c>
      <c r="P371" s="9" t="n">
        <f aca="false">IFERROR(Rohdaten!C371*100/Rohdaten!T371,"–")</f>
        <v>34.4444444444444</v>
      </c>
      <c r="Q371" s="9" t="n">
        <f aca="false">IFERROR(Rohdaten!C371*100/Rohdaten!U371,"–")</f>
        <v>387.5</v>
      </c>
      <c r="R371" s="8" t="n">
        <f aca="false">IFERROR(Rohdaten!C371*100/Rohdaten!V371,"–")</f>
        <v>0.729411764705882</v>
      </c>
      <c r="S371" s="8" t="n">
        <f aca="false">IFERROR(Rohdaten!C371*100/Rohdaten!W371,"–")</f>
        <v>2066.66666666667</v>
      </c>
      <c r="T371" s="8" t="n">
        <f aca="false">IFERROR(Rohdaten!C371*100/Rohdaten!X371,"–")</f>
        <v>20.6666666666667</v>
      </c>
      <c r="U371" s="8" t="n">
        <f aca="false">IFERROR(Rohdaten!C371*100/Rohdaten!Y371,"–")</f>
        <v>177.142857142857</v>
      </c>
      <c r="V371" s="8" t="n">
        <f aca="false">IFERROR(Rohdaten!C371*100/Rohdaten!Z371,"–")</f>
        <v>5.63636363636364</v>
      </c>
    </row>
    <row r="372" customFormat="false" ht="15" hidden="false" customHeight="true" outlineLevel="0" collapsed="false">
      <c r="A372" s="4" t="str">
        <f aca="false">Rohdaten!A372</f>
        <v>Quinoa</v>
      </c>
      <c r="B372" s="8" t="n">
        <f aca="false">Rohdaten!C372</f>
        <v>1.8</v>
      </c>
      <c r="C372" s="8" t="n">
        <f aca="false">IFERROR(Rohdaten!C372*100/Rohdaten!G372,"–")</f>
        <v>0.489130434782609</v>
      </c>
      <c r="D372" s="8" t="n">
        <f aca="false">IFERROR(Rohdaten!C372*100/(Rohdaten!H372*9),"–")</f>
        <v>3.27868852459016</v>
      </c>
      <c r="E372" s="8" t="n">
        <f aca="false">IFERROR(Rohdaten!C372*100/(Rohdaten!I372*4),"–")</f>
        <v>3.21428571428571</v>
      </c>
      <c r="F372" s="8" t="n">
        <f aca="false">IFERROR(Rohdaten!C372*100/(Rohdaten!J372*4),"–")</f>
        <v>0.703125</v>
      </c>
      <c r="G372" s="9" t="n">
        <f aca="false">IFERROR(Rohdaten!C372*100/Rohdaten!K372,"–")</f>
        <v>180</v>
      </c>
      <c r="H372" s="8" t="str">
        <f aca="false">IFERROR(Rohdaten!C372*100/Rohdaten!L372,"–")</f>
        <v>–</v>
      </c>
      <c r="I372" s="9" t="str">
        <f aca="false">IFERROR(Rohdaten!C372*100/Rohdaten!M372,"–")</f>
        <v>–</v>
      </c>
      <c r="J372" s="8" t="n">
        <f aca="false">IFERROR(Rohdaten!C372*100/Rohdaten!N372,"–")</f>
        <v>75</v>
      </c>
      <c r="K372" s="9" t="str">
        <f aca="false">IFERROR(Rohdaten!C372*100/Rohdaten!O372,"–")</f>
        <v>–</v>
      </c>
      <c r="L372" s="8" t="n">
        <f aca="false">IFERROR(Rohdaten!C372*100/Rohdaten!P372,"–")</f>
        <v>500</v>
      </c>
      <c r="M372" s="8" t="n">
        <f aca="false">IFERROR(Rohdaten!C372*100/Rohdaten!Q372,"–")</f>
        <v>562.5</v>
      </c>
      <c r="N372" s="8" t="n">
        <f aca="false">IFERROR(Rohdaten!C372*100/Rohdaten!R372,"–")</f>
        <v>120</v>
      </c>
      <c r="O372" s="8" t="n">
        <f aca="false">IFERROR(Rohdaten!C372*100/Rohdaten!S372,"–")</f>
        <v>367.34693877551</v>
      </c>
      <c r="P372" s="9" t="n">
        <f aca="false">IFERROR(Rohdaten!C372*100/Rohdaten!T372,"–")</f>
        <v>0.978260869565217</v>
      </c>
      <c r="Q372" s="9" t="str">
        <f aca="false">IFERROR(Rohdaten!C372*100/Rohdaten!U372,"–")</f>
        <v>–</v>
      </c>
      <c r="R372" s="8" t="n">
        <f aca="false">IFERROR(Rohdaten!C372*100/Rohdaten!V372,"–")</f>
        <v>3.82978723404255</v>
      </c>
      <c r="S372" s="8" t="n">
        <f aca="false">IFERROR(Rohdaten!C372*100/Rohdaten!W372,"–")</f>
        <v>39.1304347826087</v>
      </c>
      <c r="T372" s="8" t="n">
        <f aca="false">IFERROR(Rohdaten!C372*100/Rohdaten!X372,"–")</f>
        <v>0.913705583756345</v>
      </c>
      <c r="U372" s="8" t="n">
        <f aca="false">IFERROR(Rohdaten!C372*100/Rohdaten!Y372,"–")</f>
        <v>58.0645161290323</v>
      </c>
      <c r="V372" s="8" t="n">
        <f aca="false">IFERROR(Rohdaten!C372*100/Rohdaten!Z372,"–")</f>
        <v>0.319715808170515</v>
      </c>
    </row>
    <row r="373" customFormat="false" ht="15" hidden="false" customHeight="true" outlineLevel="0" collapsed="false">
      <c r="A373" s="4" t="str">
        <f aca="false">Rohdaten!A373</f>
        <v>Hirse</v>
      </c>
      <c r="B373" s="8" t="n">
        <f aca="false">Rohdaten!C373</f>
        <v>0.8</v>
      </c>
      <c r="C373" s="8" t="n">
        <f aca="false">IFERROR(Rohdaten!C373*100/Rohdaten!G373,"–")</f>
        <v>0.211640211640212</v>
      </c>
      <c r="D373" s="8" t="n">
        <f aca="false">IFERROR(Rohdaten!C373*100/(Rohdaten!H373*9),"–")</f>
        <v>2.11640211640212</v>
      </c>
      <c r="E373" s="8" t="n">
        <f aca="false">IFERROR(Rohdaten!C373*100/(Rohdaten!I373*4),"–")</f>
        <v>1.81818181818182</v>
      </c>
      <c r="F373" s="8" t="n">
        <f aca="false">IFERROR(Rohdaten!C373*100/(Rohdaten!J373*4),"–")</f>
        <v>0.273972602739726</v>
      </c>
      <c r="G373" s="9" t="str">
        <f aca="false">IFERROR(Rohdaten!C373*100/Rohdaten!K373,"–")</f>
        <v>–</v>
      </c>
      <c r="H373" s="8" t="str">
        <f aca="false">IFERROR(Rohdaten!C373*100/Rohdaten!L373,"–")</f>
        <v>–</v>
      </c>
      <c r="I373" s="9" t="str">
        <f aca="false">IFERROR(Rohdaten!C373*100/Rohdaten!M373,"–")</f>
        <v>–</v>
      </c>
      <c r="J373" s="8" t="n">
        <f aca="false">IFERROR(Rohdaten!C373*100/Rohdaten!N373,"–")</f>
        <v>800</v>
      </c>
      <c r="K373" s="9" t="n">
        <f aca="false">IFERROR(Rohdaten!C373*100/Rohdaten!O373,"–")</f>
        <v>88.8888888888889</v>
      </c>
      <c r="L373" s="8" t="n">
        <f aca="false">IFERROR(Rohdaten!C373*100/Rohdaten!P373,"–")</f>
        <v>190.47619047619</v>
      </c>
      <c r="M373" s="8" t="n">
        <f aca="false">IFERROR(Rohdaten!C373*100/Rohdaten!Q373,"–")</f>
        <v>275.862068965517</v>
      </c>
      <c r="N373" s="8" t="n">
        <f aca="false">IFERROR(Rohdaten!C373*100/Rohdaten!R373,"–")</f>
        <v>17.0212765957447</v>
      </c>
      <c r="O373" s="8" t="n">
        <f aca="false">IFERROR(Rohdaten!C373*100/Rohdaten!S373,"–")</f>
        <v>210.526315789474</v>
      </c>
      <c r="P373" s="9" t="n">
        <f aca="false">IFERROR(Rohdaten!C373*100/Rohdaten!T373,"–")</f>
        <v>0.941176470588235</v>
      </c>
      <c r="Q373" s="9" t="str">
        <f aca="false">IFERROR(Rohdaten!C373*100/Rohdaten!U373,"–")</f>
        <v>–</v>
      </c>
      <c r="R373" s="8" t="n">
        <f aca="false">IFERROR(Rohdaten!C373*100/Rohdaten!V373,"–")</f>
        <v>10</v>
      </c>
      <c r="S373" s="8" t="n">
        <f aca="false">IFERROR(Rohdaten!C373*100/Rohdaten!W373,"–")</f>
        <v>26.6666666666667</v>
      </c>
      <c r="T373" s="8" t="n">
        <f aca="false">IFERROR(Rohdaten!C373*100/Rohdaten!X373,"–")</f>
        <v>0.701754385964912</v>
      </c>
      <c r="U373" s="8" t="n">
        <f aca="false">IFERROR(Rohdaten!C373*100/Rohdaten!Y373,"–")</f>
        <v>47.0588235294118</v>
      </c>
      <c r="V373" s="8" t="n">
        <f aca="false">IFERROR(Rohdaten!C373*100/Rohdaten!Z373,"–")</f>
        <v>0.41025641025641</v>
      </c>
    </row>
    <row r="374" customFormat="false" ht="15" hidden="false" customHeight="true" outlineLevel="0" collapsed="false">
      <c r="A374" s="4" t="str">
        <f aca="false">Rohdaten!A374</f>
        <v>Buchweizen</v>
      </c>
      <c r="B374" s="8" t="n">
        <f aca="false">Rohdaten!C374</f>
        <v>0.9</v>
      </c>
      <c r="C374" s="8" t="n">
        <f aca="false">IFERROR(Rohdaten!C374*100/Rohdaten!G374,"–")</f>
        <v>0.262390670553936</v>
      </c>
      <c r="D374" s="8" t="n">
        <f aca="false">IFERROR(Rohdaten!C374*100/(Rohdaten!H374*9),"–")</f>
        <v>2.94117647058824</v>
      </c>
      <c r="E374" s="8" t="n">
        <f aca="false">IFERROR(Rohdaten!C374*100/(Rohdaten!I374*4),"–")</f>
        <v>1.73076923076923</v>
      </c>
      <c r="F374" s="8" t="n">
        <f aca="false">IFERROR(Rohdaten!C374*100/(Rohdaten!J374*4),"–")</f>
        <v>0.3125</v>
      </c>
      <c r="G374" s="9" t="str">
        <f aca="false">IFERROR(Rohdaten!C374*100/Rohdaten!K374,"–")</f>
        <v>–</v>
      </c>
      <c r="H374" s="8" t="str">
        <f aca="false">IFERROR(Rohdaten!C374*100/Rohdaten!L374,"–")</f>
        <v>–</v>
      </c>
      <c r="I374" s="9" t="str">
        <f aca="false">IFERROR(Rohdaten!C374*100/Rohdaten!M374,"–")</f>
        <v>–</v>
      </c>
      <c r="J374" s="8" t="n">
        <f aca="false">IFERROR(Rohdaten!C374*100/Rohdaten!N374,"–")</f>
        <v>90</v>
      </c>
      <c r="K374" s="9" t="str">
        <f aca="false">IFERROR(Rohdaten!C374*100/Rohdaten!O374,"–")</f>
        <v>–</v>
      </c>
      <c r="L374" s="8" t="n">
        <f aca="false">IFERROR(Rohdaten!C374*100/Rohdaten!P374,"–")</f>
        <v>900</v>
      </c>
      <c r="M374" s="8" t="n">
        <f aca="false">IFERROR(Rohdaten!C374*100/Rohdaten!Q374,"–")</f>
        <v>214.285714285714</v>
      </c>
      <c r="N374" s="8" t="n">
        <f aca="false">IFERROR(Rohdaten!C374*100/Rohdaten!R374,"–")</f>
        <v>12.8571428571429</v>
      </c>
      <c r="O374" s="8" t="n">
        <f aca="false">IFERROR(Rohdaten!C374*100/Rohdaten!S374,"–")</f>
        <v>428.571428571429</v>
      </c>
      <c r="P374" s="9" t="n">
        <f aca="false">IFERROR(Rohdaten!C374*100/Rohdaten!T374,"–")</f>
        <v>3</v>
      </c>
      <c r="Q374" s="9" t="str">
        <f aca="false">IFERROR(Rohdaten!C374*100/Rohdaten!U374,"–")</f>
        <v>–</v>
      </c>
      <c r="R374" s="8" t="n">
        <f aca="false">IFERROR(Rohdaten!C374*100/Rohdaten!V374,"–")</f>
        <v>5</v>
      </c>
      <c r="S374" s="8" t="n">
        <f aca="false">IFERROR(Rohdaten!C374*100/Rohdaten!W374,"–")</f>
        <v>40.9090909090909</v>
      </c>
      <c r="T374" s="8" t="n">
        <f aca="false">IFERROR(Rohdaten!C374*100/Rohdaten!X374,"–")</f>
        <v>0.38961038961039</v>
      </c>
      <c r="U374" s="8" t="n">
        <f aca="false">IFERROR(Rohdaten!C374*100/Rohdaten!Y374,"–")</f>
        <v>37.5</v>
      </c>
      <c r="V374" s="8" t="n">
        <f aca="false">IFERROR(Rohdaten!C374*100/Rohdaten!Z374,"–")</f>
        <v>0.195652173913044</v>
      </c>
    </row>
    <row r="375" customFormat="false" ht="15" hidden="false" customHeight="true" outlineLevel="0" collapsed="false">
      <c r="A375" s="4" t="str">
        <f aca="false">Rohdaten!A375</f>
        <v>Amaranth</v>
      </c>
      <c r="B375" s="8" t="n">
        <f aca="false">Rohdaten!C375</f>
        <v>1.2</v>
      </c>
      <c r="C375" s="8" t="n">
        <f aca="false">IFERROR(Rohdaten!C375*100/Rohdaten!G375,"–")</f>
        <v>0.323450134770889</v>
      </c>
      <c r="D375" s="8" t="n">
        <f aca="false">IFERROR(Rohdaten!C375*100/(Rohdaten!H375*9),"–")</f>
        <v>1.9047619047619</v>
      </c>
      <c r="E375" s="8" t="n">
        <f aca="false">IFERROR(Rohdaten!C375*100/(Rohdaten!I375*4),"–")</f>
        <v>2.14285714285714</v>
      </c>
      <c r="F375" s="8" t="n">
        <f aca="false">IFERROR(Rohdaten!C375*100/(Rohdaten!J375*4),"–")</f>
        <v>0.461538461538462</v>
      </c>
      <c r="G375" s="9" t="str">
        <f aca="false">IFERROR(Rohdaten!C375*100/Rohdaten!K375,"–")</f>
        <v>–</v>
      </c>
      <c r="H375" s="8" t="n">
        <f aca="false">IFERROR(Rohdaten!C375*100/Rohdaten!L375,"–")</f>
        <v>28.5714285714286</v>
      </c>
      <c r="I375" s="9" t="str">
        <f aca="false">IFERROR(Rohdaten!C375*100/Rohdaten!M375,"–")</f>
        <v>–</v>
      </c>
      <c r="J375" s="8" t="str">
        <f aca="false">IFERROR(Rohdaten!C375*100/Rohdaten!N375,"–")</f>
        <v>–</v>
      </c>
      <c r="K375" s="9" t="str">
        <f aca="false">IFERROR(Rohdaten!C375*100/Rohdaten!O375,"–")</f>
        <v>–</v>
      </c>
      <c r="L375" s="8" t="n">
        <f aca="false">IFERROR(Rohdaten!C375*100/Rohdaten!P375,"–")</f>
        <v>1000</v>
      </c>
      <c r="M375" s="8" t="n">
        <f aca="false">IFERROR(Rohdaten!C375*100/Rohdaten!Q375,"–")</f>
        <v>600</v>
      </c>
      <c r="N375" s="8" t="n">
        <f aca="false">IFERROR(Rohdaten!C375*100/Rohdaten!R375,"–")</f>
        <v>133.333333333333</v>
      </c>
      <c r="O375" s="8" t="n">
        <f aca="false">IFERROR(Rohdaten!C375*100/Rohdaten!S375,"–")</f>
        <v>203.389830508475</v>
      </c>
      <c r="P375" s="9" t="n">
        <f aca="false">IFERROR(Rohdaten!C375*100/Rohdaten!T375,"–")</f>
        <v>1.46341463414634</v>
      </c>
      <c r="Q375" s="9" t="str">
        <f aca="false">IFERROR(Rohdaten!C375*100/Rohdaten!U375,"–")</f>
        <v>–</v>
      </c>
      <c r="R375" s="8" t="n">
        <f aca="false">IFERROR(Rohdaten!C375*100/Rohdaten!V375,"–")</f>
        <v>0.754716981132076</v>
      </c>
      <c r="S375" s="8" t="n">
        <f aca="false">IFERROR(Rohdaten!C375*100/Rohdaten!W375,"–")</f>
        <v>15.7894736842105</v>
      </c>
      <c r="T375" s="8" t="n">
        <f aca="false">IFERROR(Rohdaten!C375*100/Rohdaten!X375,"–")</f>
        <v>0.483870967741936</v>
      </c>
      <c r="U375" s="8" t="n">
        <f aca="false">IFERROR(Rohdaten!C375*100/Rohdaten!Y375,"–")</f>
        <v>41.3793103448276</v>
      </c>
      <c r="V375" s="8" t="n">
        <f aca="false">IFERROR(Rohdaten!C375*100/Rohdaten!Z375,"–")</f>
        <v>0.236220472440945</v>
      </c>
    </row>
    <row r="376" customFormat="false" ht="15" hidden="false" customHeight="true" outlineLevel="0" collapsed="false">
      <c r="A376" s="4" t="str">
        <f aca="false">Rohdaten!A376</f>
        <v>Couscous</v>
      </c>
      <c r="B376" s="8" t="n">
        <f aca="false">Rohdaten!C376</f>
        <v>1.6</v>
      </c>
      <c r="C376" s="8" t="n">
        <f aca="false">IFERROR(Rohdaten!C376*100/Rohdaten!G376,"–")</f>
        <v>0.425531914893617</v>
      </c>
      <c r="D376" s="8" t="n">
        <f aca="false">IFERROR(Rohdaten!C376*100/(Rohdaten!H376*9),"–")</f>
        <v>29.6296296296296</v>
      </c>
      <c r="E376" s="8" t="n">
        <f aca="false">IFERROR(Rohdaten!C376*100/(Rohdaten!I376*4),"–")</f>
        <v>3.07692307692308</v>
      </c>
      <c r="F376" s="8" t="n">
        <f aca="false">IFERROR(Rohdaten!C376*100/(Rohdaten!J376*4),"–")</f>
        <v>0.519480519480519</v>
      </c>
      <c r="G376" s="9" t="str">
        <f aca="false">IFERROR(Rohdaten!C376*100/Rohdaten!K376,"–")</f>
        <v>–</v>
      </c>
      <c r="H376" s="8" t="str">
        <f aca="false">IFERROR(Rohdaten!C376*100/Rohdaten!L376,"–")</f>
        <v>–</v>
      </c>
      <c r="I376" s="9" t="str">
        <f aca="false">IFERROR(Rohdaten!C376*100/Rohdaten!M376,"–")</f>
        <v>–</v>
      </c>
      <c r="J376" s="8" t="n">
        <f aca="false">IFERROR(Rohdaten!C376*100/Rohdaten!N376,"–")</f>
        <v>1600</v>
      </c>
      <c r="K376" s="9" t="str">
        <f aca="false">IFERROR(Rohdaten!C376*100/Rohdaten!O376,"–")</f>
        <v>–</v>
      </c>
      <c r="L376" s="8" t="n">
        <f aca="false">IFERROR(Rohdaten!C376*100/Rohdaten!P376,"–")</f>
        <v>1600</v>
      </c>
      <c r="M376" s="8" t="n">
        <f aca="false">IFERROR(Rohdaten!C376*100/Rohdaten!Q376,"–")</f>
        <v>3200</v>
      </c>
      <c r="N376" s="8" t="n">
        <f aca="false">IFERROR(Rohdaten!C376*100/Rohdaten!R376,"–")</f>
        <v>45.7142857142857</v>
      </c>
      <c r="O376" s="8" t="n">
        <f aca="false">IFERROR(Rohdaten!C376*100/Rohdaten!S376,"–")</f>
        <v>1600</v>
      </c>
      <c r="P376" s="9" t="n">
        <f aca="false">IFERROR(Rohdaten!C376*100/Rohdaten!T376,"–")</f>
        <v>6.4</v>
      </c>
      <c r="Q376" s="9" t="str">
        <f aca="false">IFERROR(Rohdaten!C376*100/Rohdaten!U376,"–")</f>
        <v>–</v>
      </c>
      <c r="R376" s="8" t="n">
        <f aca="false">IFERROR(Rohdaten!C376*100/Rohdaten!V376,"–")</f>
        <v>6.66666666666667</v>
      </c>
      <c r="S376" s="8" t="n">
        <f aca="false">IFERROR(Rohdaten!C376*100/Rohdaten!W376,"–")</f>
        <v>145.454545454545</v>
      </c>
      <c r="T376" s="8" t="n">
        <f aca="false">IFERROR(Rohdaten!C376*100/Rohdaten!X376,"–")</f>
        <v>3.63636363636364</v>
      </c>
      <c r="U376" s="8" t="n">
        <f aca="false">IFERROR(Rohdaten!C376*100/Rohdaten!Y376,"–")</f>
        <v>200</v>
      </c>
      <c r="V376" s="8" t="n">
        <f aca="false">IFERROR(Rohdaten!C376*100/Rohdaten!Z376,"–")</f>
        <v>0.963855421686747</v>
      </c>
    </row>
    <row r="377" customFormat="false" ht="15" hidden="false" customHeight="true" outlineLevel="0" collapsed="false">
      <c r="A377" s="4" t="str">
        <f aca="false">Rohdaten!A377</f>
        <v>Grieß (Weizen)</v>
      </c>
      <c r="B377" s="8" t="n">
        <f aca="false">Rohdaten!C377</f>
        <v>1.5</v>
      </c>
      <c r="C377" s="8" t="n">
        <f aca="false">IFERROR(Rohdaten!C377*100/Rohdaten!G377,"–")</f>
        <v>0.416666666666667</v>
      </c>
      <c r="D377" s="8" t="n">
        <f aca="false">IFERROR(Rohdaten!C377*100/(Rohdaten!H377*9),"–")</f>
        <v>15.1515151515152</v>
      </c>
      <c r="E377" s="8" t="n">
        <f aca="false">IFERROR(Rohdaten!C377*100/(Rohdaten!I377*4),"–")</f>
        <v>2.88461538461538</v>
      </c>
      <c r="F377" s="8" t="n">
        <f aca="false">IFERROR(Rohdaten!C377*100/(Rohdaten!J377*4),"–")</f>
        <v>0.513698630136986</v>
      </c>
      <c r="G377" s="9" t="str">
        <f aca="false">IFERROR(Rohdaten!C377*100/Rohdaten!K377,"–")</f>
        <v>–</v>
      </c>
      <c r="H377" s="8" t="str">
        <f aca="false">IFERROR(Rohdaten!C377*100/Rohdaten!L377,"–")</f>
        <v>–</v>
      </c>
      <c r="I377" s="9" t="str">
        <f aca="false">IFERROR(Rohdaten!C377*100/Rohdaten!M377,"–")</f>
        <v>–</v>
      </c>
      <c r="J377" s="8" t="n">
        <f aca="false">IFERROR(Rohdaten!C377*100/Rohdaten!N377,"–")</f>
        <v>1500</v>
      </c>
      <c r="K377" s="9" t="str">
        <f aca="false">IFERROR(Rohdaten!C377*100/Rohdaten!O377,"–")</f>
        <v>–</v>
      </c>
      <c r="L377" s="8" t="n">
        <f aca="false">IFERROR(Rohdaten!C377*100/Rohdaten!P377,"–")</f>
        <v>937.5</v>
      </c>
      <c r="M377" s="8" t="n">
        <f aca="false">IFERROR(Rohdaten!C377*100/Rohdaten!Q377,"–")</f>
        <v>1875</v>
      </c>
      <c r="N377" s="8" t="n">
        <f aca="false">IFERROR(Rohdaten!C377*100/Rohdaten!R377,"–")</f>
        <v>50</v>
      </c>
      <c r="O377" s="8" t="n">
        <f aca="false">IFERROR(Rohdaten!C377*100/Rohdaten!S377,"–")</f>
        <v>1500</v>
      </c>
      <c r="P377" s="9" t="n">
        <f aca="false">IFERROR(Rohdaten!C377*100/Rohdaten!T377,"–")</f>
        <v>6</v>
      </c>
      <c r="Q377" s="9" t="str">
        <f aca="false">IFERROR(Rohdaten!C377*100/Rohdaten!U377,"–")</f>
        <v>–</v>
      </c>
      <c r="R377" s="8" t="n">
        <f aca="false">IFERROR(Rohdaten!C377*100/Rohdaten!V377,"–")</f>
        <v>7.5</v>
      </c>
      <c r="S377" s="8" t="n">
        <f aca="false">IFERROR(Rohdaten!C377*100/Rohdaten!W377,"–")</f>
        <v>125</v>
      </c>
      <c r="T377" s="8" t="n">
        <f aca="false">IFERROR(Rohdaten!C377*100/Rohdaten!X377,"–")</f>
        <v>3.19148936170213</v>
      </c>
      <c r="U377" s="8" t="n">
        <f aca="false">IFERROR(Rohdaten!C377*100/Rohdaten!Y377,"–")</f>
        <v>187.5</v>
      </c>
      <c r="V377" s="8" t="n">
        <f aca="false">IFERROR(Rohdaten!C377*100/Rohdaten!Z377,"–")</f>
        <v>0.833333333333333</v>
      </c>
    </row>
    <row r="378" customFormat="false" ht="15" hidden="false" customHeight="true" outlineLevel="0" collapsed="false">
      <c r="A378" s="4" t="str">
        <f aca="false">Rohdaten!A378</f>
        <v>Polenta/Maisgrieß</v>
      </c>
      <c r="B378" s="8" t="n">
        <f aca="false">Rohdaten!C378</f>
        <v>1.4</v>
      </c>
      <c r="C378" s="8" t="n">
        <f aca="false">IFERROR(Rohdaten!C378*100/Rohdaten!G378,"–")</f>
        <v>0.386740331491713</v>
      </c>
      <c r="D378" s="8" t="n">
        <f aca="false">IFERROR(Rohdaten!C378*100/(Rohdaten!H378*9),"–")</f>
        <v>10.3703703703704</v>
      </c>
      <c r="E378" s="8" t="n">
        <f aca="false">IFERROR(Rohdaten!C378*100/(Rohdaten!I378*4),"–")</f>
        <v>4.11764705882353</v>
      </c>
      <c r="F378" s="8" t="n">
        <f aca="false">IFERROR(Rohdaten!C378*100/(Rohdaten!J378*4),"–")</f>
        <v>0.454545454545455</v>
      </c>
      <c r="G378" s="9" t="n">
        <f aca="false">IFERROR(Rohdaten!C378*100/Rohdaten!K378,"–")</f>
        <v>7</v>
      </c>
      <c r="H378" s="8" t="str">
        <f aca="false">IFERROR(Rohdaten!C378*100/Rohdaten!L378,"–")</f>
        <v>–</v>
      </c>
      <c r="I378" s="9" t="str">
        <f aca="false">IFERROR(Rohdaten!C378*100/Rohdaten!M378,"–")</f>
        <v>–</v>
      </c>
      <c r="J378" s="8" t="n">
        <f aca="false">IFERROR(Rohdaten!C378*100/Rohdaten!N378,"–")</f>
        <v>350</v>
      </c>
      <c r="K378" s="9" t="str">
        <f aca="false">IFERROR(Rohdaten!C378*100/Rohdaten!O378,"–")</f>
        <v>–</v>
      </c>
      <c r="L378" s="8" t="n">
        <f aca="false">IFERROR(Rohdaten!C378*100/Rohdaten!P378,"–")</f>
        <v>933.333333333333</v>
      </c>
      <c r="M378" s="8" t="n">
        <f aca="false">IFERROR(Rohdaten!C378*100/Rohdaten!Q378,"–")</f>
        <v>1750</v>
      </c>
      <c r="N378" s="8" t="n">
        <f aca="false">IFERROR(Rohdaten!C378*100/Rohdaten!R378,"–")</f>
        <v>87.5</v>
      </c>
      <c r="O378" s="8" t="n">
        <f aca="false">IFERROR(Rohdaten!C378*100/Rohdaten!S378,"–")</f>
        <v>933.333333333333</v>
      </c>
      <c r="P378" s="9" t="n">
        <f aca="false">IFERROR(Rohdaten!C378*100/Rohdaten!T378,"–")</f>
        <v>9.33333333333333</v>
      </c>
      <c r="Q378" s="9" t="str">
        <f aca="false">IFERROR(Rohdaten!C378*100/Rohdaten!U378,"–")</f>
        <v>–</v>
      </c>
      <c r="R378" s="8" t="n">
        <f aca="false">IFERROR(Rohdaten!C378*100/Rohdaten!V378,"–")</f>
        <v>28</v>
      </c>
      <c r="S378" s="8" t="n">
        <f aca="false">IFERROR(Rohdaten!C378*100/Rohdaten!W378,"–")</f>
        <v>140</v>
      </c>
      <c r="T378" s="8" t="n">
        <f aca="false">IFERROR(Rohdaten!C378*100/Rohdaten!X378,"–")</f>
        <v>5.6</v>
      </c>
      <c r="U378" s="8" t="n">
        <f aca="false">IFERROR(Rohdaten!C378*100/Rohdaten!Y378,"–")</f>
        <v>280</v>
      </c>
      <c r="V378" s="8" t="n">
        <f aca="false">IFERROR(Rohdaten!C378*100/Rohdaten!Z378,"–")</f>
        <v>1.16666666666667</v>
      </c>
    </row>
    <row r="379" customFormat="false" ht="15" hidden="false" customHeight="true" outlineLevel="0" collapsed="false">
      <c r="A379" s="4" t="str">
        <f aca="false">Rohdaten!A379</f>
        <v>Basmatireis</v>
      </c>
      <c r="B379" s="8" t="n">
        <f aca="false">Rohdaten!C379</f>
        <v>3</v>
      </c>
      <c r="C379" s="8" t="n">
        <f aca="false">IFERROR(Rohdaten!C379*100/Rohdaten!G379,"–")</f>
        <v>0.842696629213483</v>
      </c>
      <c r="D379" s="8" t="n">
        <f aca="false">IFERROR(Rohdaten!C379*100/(Rohdaten!H379*9),"–")</f>
        <v>37.037037037037</v>
      </c>
      <c r="E379" s="8" t="n">
        <f aca="false">IFERROR(Rohdaten!C379*100/(Rohdaten!I379*4),"–")</f>
        <v>9.49367088607595</v>
      </c>
      <c r="F379" s="8" t="n">
        <f aca="false">IFERROR(Rohdaten!C379*100/(Rohdaten!J379*4),"–")</f>
        <v>0.961538461538462</v>
      </c>
      <c r="G379" s="9" t="str">
        <f aca="false">IFERROR(Rohdaten!C379*100/Rohdaten!K379,"–")</f>
        <v>–</v>
      </c>
      <c r="H379" s="8" t="str">
        <f aca="false">IFERROR(Rohdaten!C379*100/Rohdaten!L379,"–")</f>
        <v>–</v>
      </c>
      <c r="I379" s="9" t="str">
        <f aca="false">IFERROR(Rohdaten!C379*100/Rohdaten!M379,"–")</f>
        <v>–</v>
      </c>
      <c r="J379" s="8" t="n">
        <f aca="false">IFERROR(Rohdaten!C379*100/Rohdaten!N379,"–")</f>
        <v>3000</v>
      </c>
      <c r="K379" s="9" t="str">
        <f aca="false">IFERROR(Rohdaten!C379*100/Rohdaten!O379,"–")</f>
        <v>–</v>
      </c>
      <c r="L379" s="8" t="n">
        <f aca="false">IFERROR(Rohdaten!C379*100/Rohdaten!P379,"–")</f>
        <v>3333.33333333333</v>
      </c>
      <c r="M379" s="8" t="n">
        <f aca="false">IFERROR(Rohdaten!C379*100/Rohdaten!Q379,"–")</f>
        <v>5000</v>
      </c>
      <c r="N379" s="8" t="n">
        <f aca="false">IFERROR(Rohdaten!C379*100/Rohdaten!R379,"–")</f>
        <v>111.111111111111</v>
      </c>
      <c r="O379" s="8" t="n">
        <f aca="false">IFERROR(Rohdaten!C379*100/Rohdaten!S379,"–")</f>
        <v>1071.42857142857</v>
      </c>
      <c r="P379" s="9" t="n">
        <f aca="false">IFERROR(Rohdaten!C379*100/Rohdaten!T379,"–")</f>
        <v>33.3333333333333</v>
      </c>
      <c r="Q379" s="9" t="str">
        <f aca="false">IFERROR(Rohdaten!C379*100/Rohdaten!U379,"–")</f>
        <v>–</v>
      </c>
      <c r="R379" s="8" t="n">
        <f aca="false">IFERROR(Rohdaten!C379*100/Rohdaten!V379,"–")</f>
        <v>33.3333333333333</v>
      </c>
      <c r="S379" s="8" t="n">
        <f aca="false">IFERROR(Rohdaten!C379*100/Rohdaten!W379,"–")</f>
        <v>500</v>
      </c>
      <c r="T379" s="8" t="n">
        <f aca="false">IFERROR(Rohdaten!C379*100/Rohdaten!X379,"–")</f>
        <v>12</v>
      </c>
      <c r="U379" s="8" t="n">
        <f aca="false">IFERROR(Rohdaten!C379*100/Rohdaten!Y379,"–")</f>
        <v>333.333333333333</v>
      </c>
      <c r="V379" s="8" t="n">
        <f aca="false">IFERROR(Rohdaten!C379*100/Rohdaten!Z379,"–")</f>
        <v>3.48837209302326</v>
      </c>
    </row>
    <row r="380" customFormat="false" ht="15" hidden="false" customHeight="true" outlineLevel="0" collapsed="false">
      <c r="A380" s="4" t="str">
        <f aca="false">Rohdaten!A380</f>
        <v>Jasminreis</v>
      </c>
      <c r="B380" s="8" t="n">
        <f aca="false">Rohdaten!C380</f>
        <v>3</v>
      </c>
      <c r="C380" s="8" t="n">
        <f aca="false">IFERROR(Rohdaten!C380*100/Rohdaten!G380,"–")</f>
        <v>0.842696629213483</v>
      </c>
      <c r="D380" s="8" t="n">
        <f aca="false">IFERROR(Rohdaten!C380*100/(Rohdaten!H380*9),"–")</f>
        <v>55.5555555555556</v>
      </c>
      <c r="E380" s="8" t="n">
        <f aca="false">IFERROR(Rohdaten!C380*100/(Rohdaten!I380*4),"–")</f>
        <v>10.5633802816901</v>
      </c>
      <c r="F380" s="8" t="n">
        <f aca="false">IFERROR(Rohdaten!C380*100/(Rohdaten!J380*4),"–")</f>
        <v>0.9375</v>
      </c>
      <c r="G380" s="9" t="str">
        <f aca="false">IFERROR(Rohdaten!C380*100/Rohdaten!K380,"–")</f>
        <v>–</v>
      </c>
      <c r="H380" s="8" t="str">
        <f aca="false">IFERROR(Rohdaten!C380*100/Rohdaten!L380,"–")</f>
        <v>–</v>
      </c>
      <c r="I380" s="9" t="str">
        <f aca="false">IFERROR(Rohdaten!C380*100/Rohdaten!M380,"–")</f>
        <v>–</v>
      </c>
      <c r="J380" s="8" t="n">
        <f aca="false">IFERROR(Rohdaten!C380*100/Rohdaten!N380,"–")</f>
        <v>3000</v>
      </c>
      <c r="K380" s="9" t="str">
        <f aca="false">IFERROR(Rohdaten!C380*100/Rohdaten!O380,"–")</f>
        <v>–</v>
      </c>
      <c r="L380" s="8" t="n">
        <f aca="false">IFERROR(Rohdaten!C380*100/Rohdaten!P380,"–")</f>
        <v>5000</v>
      </c>
      <c r="M380" s="8" t="n">
        <f aca="false">IFERROR(Rohdaten!C380*100/Rohdaten!Q380,"–")</f>
        <v>7500</v>
      </c>
      <c r="N380" s="8" t="n">
        <f aca="false">IFERROR(Rohdaten!C380*100/Rohdaten!R380,"–")</f>
        <v>187.5</v>
      </c>
      <c r="O380" s="8" t="n">
        <f aca="false">IFERROR(Rohdaten!C380*100/Rohdaten!S380,"–")</f>
        <v>2000</v>
      </c>
      <c r="P380" s="9" t="n">
        <f aca="false">IFERROR(Rohdaten!C380*100/Rohdaten!T380,"–")</f>
        <v>37.5</v>
      </c>
      <c r="Q380" s="9" t="str">
        <f aca="false">IFERROR(Rohdaten!C380*100/Rohdaten!U380,"–")</f>
        <v>–</v>
      </c>
      <c r="R380" s="8" t="n">
        <f aca="false">IFERROR(Rohdaten!C380*100/Rohdaten!V380,"–")</f>
        <v>37.5</v>
      </c>
      <c r="S380" s="8" t="n">
        <f aca="false">IFERROR(Rohdaten!C380*100/Rohdaten!W380,"–")</f>
        <v>750</v>
      </c>
      <c r="T380" s="8" t="n">
        <f aca="false">IFERROR(Rohdaten!C380*100/Rohdaten!X380,"–")</f>
        <v>15</v>
      </c>
      <c r="U380" s="8" t="n">
        <f aca="false">IFERROR(Rohdaten!C380*100/Rohdaten!Y380,"–")</f>
        <v>428.571428571429</v>
      </c>
      <c r="V380" s="8" t="n">
        <f aca="false">IFERROR(Rohdaten!C380*100/Rohdaten!Z380,"–")</f>
        <v>5</v>
      </c>
    </row>
    <row r="381" customFormat="false" ht="15" hidden="false" customHeight="true" outlineLevel="0" collapsed="false">
      <c r="A381" s="4" t="str">
        <f aca="false">Rohdaten!A381</f>
        <v>Risottoreis/Arborio</v>
      </c>
      <c r="B381" s="8" t="n">
        <f aca="false">Rohdaten!C381</f>
        <v>3</v>
      </c>
      <c r="C381" s="8" t="n">
        <f aca="false">IFERROR(Rohdaten!C381*100/Rohdaten!G381,"–")</f>
        <v>0.859598853868195</v>
      </c>
      <c r="D381" s="8" t="n">
        <f aca="false">IFERROR(Rohdaten!C381*100/(Rohdaten!H381*9),"–")</f>
        <v>55.5555555555556</v>
      </c>
      <c r="E381" s="8" t="n">
        <f aca="false">IFERROR(Rohdaten!C381*100/(Rohdaten!I381*4),"–")</f>
        <v>11.5384615384615</v>
      </c>
      <c r="F381" s="8" t="n">
        <f aca="false">IFERROR(Rohdaten!C381*100/(Rohdaten!J381*4),"–")</f>
        <v>0.974025974025974</v>
      </c>
      <c r="G381" s="9" t="str">
        <f aca="false">IFERROR(Rohdaten!C381*100/Rohdaten!K381,"–")</f>
        <v>–</v>
      </c>
      <c r="H381" s="8" t="str">
        <f aca="false">IFERROR(Rohdaten!C381*100/Rohdaten!L381,"–")</f>
        <v>–</v>
      </c>
      <c r="I381" s="9" t="str">
        <f aca="false">IFERROR(Rohdaten!C381*100/Rohdaten!M381,"–")</f>
        <v>–</v>
      </c>
      <c r="J381" s="8" t="str">
        <f aca="false">IFERROR(Rohdaten!C381*100/Rohdaten!N381,"–")</f>
        <v>–</v>
      </c>
      <c r="K381" s="9" t="str">
        <f aca="false">IFERROR(Rohdaten!C381*100/Rohdaten!O381,"–")</f>
        <v>–</v>
      </c>
      <c r="L381" s="8" t="n">
        <f aca="false">IFERROR(Rohdaten!C381*100/Rohdaten!P381,"–")</f>
        <v>4285.71428571429</v>
      </c>
      <c r="M381" s="8" t="n">
        <f aca="false">IFERROR(Rohdaten!C381*100/Rohdaten!Q381,"–")</f>
        <v>6000</v>
      </c>
      <c r="N381" s="8" t="n">
        <f aca="false">IFERROR(Rohdaten!C381*100/Rohdaten!R381,"–")</f>
        <v>176.470588235294</v>
      </c>
      <c r="O381" s="8" t="n">
        <f aca="false">IFERROR(Rohdaten!C381*100/Rohdaten!S381,"–")</f>
        <v>1875</v>
      </c>
      <c r="P381" s="9" t="n">
        <f aca="false">IFERROR(Rohdaten!C381*100/Rohdaten!T381,"–")</f>
        <v>37.5</v>
      </c>
      <c r="Q381" s="9" t="str">
        <f aca="false">IFERROR(Rohdaten!C381*100/Rohdaten!U381,"–")</f>
        <v>–</v>
      </c>
      <c r="R381" s="8" t="n">
        <f aca="false">IFERROR(Rohdaten!C381*100/Rohdaten!V381,"–")</f>
        <v>33.3333333333333</v>
      </c>
      <c r="S381" s="8" t="n">
        <f aca="false">IFERROR(Rohdaten!C381*100/Rohdaten!W381,"–")</f>
        <v>500</v>
      </c>
      <c r="T381" s="8" t="n">
        <f aca="false">IFERROR(Rohdaten!C381*100/Rohdaten!X381,"–")</f>
        <v>12</v>
      </c>
      <c r="U381" s="8" t="n">
        <f aca="false">IFERROR(Rohdaten!C381*100/Rohdaten!Y381,"–")</f>
        <v>300</v>
      </c>
      <c r="V381" s="8" t="n">
        <f aca="false">IFERROR(Rohdaten!C381*100/Rohdaten!Z381,"–")</f>
        <v>3.33333333333333</v>
      </c>
    </row>
    <row r="382" customFormat="false" ht="15" hidden="false" customHeight="true" outlineLevel="0" collapsed="false">
      <c r="A382" s="4" t="str">
        <f aca="false">Rohdaten!A382</f>
        <v>Wildreis</v>
      </c>
      <c r="B382" s="8" t="n">
        <f aca="false">Rohdaten!C382</f>
        <v>2.8</v>
      </c>
      <c r="C382" s="8" t="n">
        <f aca="false">IFERROR(Rohdaten!C382*100/Rohdaten!G382,"–")</f>
        <v>0.784313725490196</v>
      </c>
      <c r="D382" s="8" t="n">
        <f aca="false">IFERROR(Rohdaten!C382*100/(Rohdaten!H382*9),"–")</f>
        <v>28.2828282828283</v>
      </c>
      <c r="E382" s="8" t="n">
        <f aca="false">IFERROR(Rohdaten!C382*100/(Rohdaten!I382*4),"–")</f>
        <v>4.66666666666667</v>
      </c>
      <c r="F382" s="8" t="n">
        <f aca="false">IFERROR(Rohdaten!C382*100/(Rohdaten!J382*4),"–")</f>
        <v>0.933333333333333</v>
      </c>
      <c r="G382" s="9" t="str">
        <f aca="false">IFERROR(Rohdaten!C382*100/Rohdaten!K382,"–")</f>
        <v>–</v>
      </c>
      <c r="H382" s="8" t="str">
        <f aca="false">IFERROR(Rohdaten!C382*100/Rohdaten!L382,"–")</f>
        <v>–</v>
      </c>
      <c r="I382" s="9" t="str">
        <f aca="false">IFERROR(Rohdaten!C382*100/Rohdaten!M382,"–")</f>
        <v>–</v>
      </c>
      <c r="J382" s="8" t="n">
        <f aca="false">IFERROR(Rohdaten!C382*100/Rohdaten!N382,"–")</f>
        <v>200</v>
      </c>
      <c r="K382" s="9" t="str">
        <f aca="false">IFERROR(Rohdaten!C382*100/Rohdaten!O382,"–")</f>
        <v>–</v>
      </c>
      <c r="L382" s="8" t="n">
        <f aca="false">IFERROR(Rohdaten!C382*100/Rohdaten!P382,"–")</f>
        <v>2333.33333333333</v>
      </c>
      <c r="M382" s="8" t="n">
        <f aca="false">IFERROR(Rohdaten!C382*100/Rohdaten!Q382,"–")</f>
        <v>1076.92307692308</v>
      </c>
      <c r="N382" s="8" t="n">
        <f aca="false">IFERROR(Rohdaten!C382*100/Rohdaten!R382,"–")</f>
        <v>41.7910447761194</v>
      </c>
      <c r="O382" s="8" t="n">
        <f aca="false">IFERROR(Rohdaten!C382*100/Rohdaten!S382,"–")</f>
        <v>1333.33333333333</v>
      </c>
      <c r="P382" s="9" t="n">
        <f aca="false">IFERROR(Rohdaten!C382*100/Rohdaten!T382,"–")</f>
        <v>2.94736842105263</v>
      </c>
      <c r="Q382" s="9" t="str">
        <f aca="false">IFERROR(Rohdaten!C382*100/Rohdaten!U382,"–")</f>
        <v>–</v>
      </c>
      <c r="R382" s="8" t="n">
        <f aca="false">IFERROR(Rohdaten!C382*100/Rohdaten!V382,"–")</f>
        <v>28</v>
      </c>
      <c r="S382" s="8" t="n">
        <f aca="false">IFERROR(Rohdaten!C382*100/Rohdaten!W382,"–")</f>
        <v>140</v>
      </c>
      <c r="T382" s="8" t="n">
        <f aca="false">IFERROR(Rohdaten!C382*100/Rohdaten!X382,"–")</f>
        <v>1.5819209039548</v>
      </c>
      <c r="U382" s="8" t="n">
        <f aca="false">IFERROR(Rohdaten!C382*100/Rohdaten!Y382,"–")</f>
        <v>62.2222222222222</v>
      </c>
      <c r="V382" s="8" t="n">
        <f aca="false">IFERROR(Rohdaten!C382*100/Rohdaten!Z382,"–")</f>
        <v>0.655737704918033</v>
      </c>
    </row>
    <row r="383" customFormat="false" ht="15" hidden="false" customHeight="true" outlineLevel="0" collapsed="false">
      <c r="A383" s="4" t="str">
        <f aca="false">Rohdaten!A383</f>
        <v>Graupen (Gerste geschält)</v>
      </c>
      <c r="B383" s="8" t="n">
        <f aca="false">Rohdaten!C383</f>
        <v>1</v>
      </c>
      <c r="C383" s="8" t="n">
        <f aca="false">IFERROR(Rohdaten!C383*100/Rohdaten!G383,"–")</f>
        <v>0.284090909090909</v>
      </c>
      <c r="D383" s="8" t="n">
        <f aca="false">IFERROR(Rohdaten!C383*100/(Rohdaten!H383*9),"–")</f>
        <v>4.83091787439614</v>
      </c>
      <c r="E383" s="8" t="n">
        <f aca="false">IFERROR(Rohdaten!C383*100/(Rohdaten!I383*4),"–")</f>
        <v>2.5</v>
      </c>
      <c r="F383" s="8" t="n">
        <f aca="false">IFERROR(Rohdaten!C383*100/(Rohdaten!J383*4),"–")</f>
        <v>0.324675324675325</v>
      </c>
      <c r="G383" s="9" t="str">
        <f aca="false">IFERROR(Rohdaten!C383*100/Rohdaten!K383,"–")</f>
        <v>–</v>
      </c>
      <c r="H383" s="8" t="str">
        <f aca="false">IFERROR(Rohdaten!C383*100/Rohdaten!L383,"–")</f>
        <v>–</v>
      </c>
      <c r="I383" s="9" t="str">
        <f aca="false">IFERROR(Rohdaten!C383*100/Rohdaten!M383,"–")</f>
        <v>–</v>
      </c>
      <c r="J383" s="8" t="n">
        <f aca="false">IFERROR(Rohdaten!C383*100/Rohdaten!N383,"–")</f>
        <v>1000</v>
      </c>
      <c r="K383" s="9" t="str">
        <f aca="false">IFERROR(Rohdaten!C383*100/Rohdaten!O383,"–")</f>
        <v>–</v>
      </c>
      <c r="L383" s="8" t="n">
        <f aca="false">IFERROR(Rohdaten!C383*100/Rohdaten!P383,"–")</f>
        <v>526.315789473684</v>
      </c>
      <c r="M383" s="8" t="n">
        <f aca="false">IFERROR(Rohdaten!C383*100/Rohdaten!Q383,"–")</f>
        <v>909.090909090909</v>
      </c>
      <c r="N383" s="8" t="n">
        <f aca="false">IFERROR(Rohdaten!C383*100/Rohdaten!R383,"–")</f>
        <v>21.7391304347826</v>
      </c>
      <c r="O383" s="8" t="n">
        <f aca="false">IFERROR(Rohdaten!C383*100/Rohdaten!S383,"–")</f>
        <v>384.615384615385</v>
      </c>
      <c r="P383" s="9" t="n">
        <f aca="false">IFERROR(Rohdaten!C383*100/Rohdaten!T383,"–")</f>
        <v>4.34782608695652</v>
      </c>
      <c r="Q383" s="9" t="str">
        <f aca="false">IFERROR(Rohdaten!C383*100/Rohdaten!U383,"–")</f>
        <v>–</v>
      </c>
      <c r="R383" s="8" t="n">
        <f aca="false">IFERROR(Rohdaten!C383*100/Rohdaten!V383,"–")</f>
        <v>3.44827586206897</v>
      </c>
      <c r="S383" s="8" t="n">
        <f aca="false">IFERROR(Rohdaten!C383*100/Rohdaten!W383,"–")</f>
        <v>40</v>
      </c>
      <c r="T383" s="8" t="n">
        <f aca="false">IFERROR(Rohdaten!C383*100/Rohdaten!X383,"–")</f>
        <v>1.26582278481013</v>
      </c>
      <c r="U383" s="8" t="n">
        <f aca="false">IFERROR(Rohdaten!C383*100/Rohdaten!Y383,"–")</f>
        <v>47.6190476190476</v>
      </c>
      <c r="V383" s="8" t="n">
        <f aca="false">IFERROR(Rohdaten!C383*100/Rohdaten!Z383,"–")</f>
        <v>0.357142857142857</v>
      </c>
    </row>
    <row r="384" customFormat="false" ht="15" hidden="false" customHeight="true" outlineLevel="0" collapsed="false">
      <c r="A384" s="4" t="str">
        <f aca="false">Rohdaten!A384</f>
        <v>Haferkleie</v>
      </c>
      <c r="B384" s="8" t="n">
        <f aca="false">Rohdaten!C384</f>
        <v>0.7</v>
      </c>
      <c r="C384" s="8" t="n">
        <f aca="false">IFERROR(Rohdaten!C384*100/Rohdaten!G384,"–")</f>
        <v>0.284552845528455</v>
      </c>
      <c r="D384" s="8" t="n">
        <f aca="false">IFERROR(Rohdaten!C384*100/(Rohdaten!H384*9),"–")</f>
        <v>1.11111111111111</v>
      </c>
      <c r="E384" s="8" t="n">
        <f aca="false">IFERROR(Rohdaten!C384*100/(Rohdaten!I384*4),"–")</f>
        <v>1.02941176470588</v>
      </c>
      <c r="F384" s="8" t="n">
        <f aca="false">IFERROR(Rohdaten!C384*100/(Rohdaten!J384*4),"–")</f>
        <v>0.265151515151515</v>
      </c>
      <c r="G384" s="9" t="str">
        <f aca="false">IFERROR(Rohdaten!C384*100/Rohdaten!K384,"–")</f>
        <v>–</v>
      </c>
      <c r="H384" s="8" t="str">
        <f aca="false">IFERROR(Rohdaten!C384*100/Rohdaten!L384,"–")</f>
        <v>–</v>
      </c>
      <c r="I384" s="9" t="str">
        <f aca="false">IFERROR(Rohdaten!C384*100/Rohdaten!M384,"–")</f>
        <v>–</v>
      </c>
      <c r="J384" s="8" t="n">
        <f aca="false">IFERROR(Rohdaten!C384*100/Rohdaten!N384,"–")</f>
        <v>100</v>
      </c>
      <c r="K384" s="9" t="str">
        <f aca="false">IFERROR(Rohdaten!C384*100/Rohdaten!O384,"–")</f>
        <v>–</v>
      </c>
      <c r="L384" s="8" t="n">
        <f aca="false">IFERROR(Rohdaten!C384*100/Rohdaten!P384,"–")</f>
        <v>60.3448275862069</v>
      </c>
      <c r="M384" s="8" t="n">
        <f aca="false">IFERROR(Rohdaten!C384*100/Rohdaten!Q384,"–")</f>
        <v>233.333333333333</v>
      </c>
      <c r="N384" s="8" t="n">
        <f aca="false">IFERROR(Rohdaten!C384*100/Rohdaten!R384,"–")</f>
        <v>77.7777777777778</v>
      </c>
      <c r="O384" s="8" t="n">
        <f aca="false">IFERROR(Rohdaten!C384*100/Rohdaten!S384,"–")</f>
        <v>93.3333333333333</v>
      </c>
      <c r="P384" s="9" t="n">
        <f aca="false">IFERROR(Rohdaten!C384*100/Rohdaten!T384,"–")</f>
        <v>1.34615384615385</v>
      </c>
      <c r="Q384" s="9" t="str">
        <f aca="false">IFERROR(Rohdaten!C384*100/Rohdaten!U384,"–")</f>
        <v>–</v>
      </c>
      <c r="R384" s="8" t="n">
        <f aca="false">IFERROR(Rohdaten!C384*100/Rohdaten!V384,"–")</f>
        <v>1.20689655172414</v>
      </c>
      <c r="S384" s="8" t="n">
        <f aca="false">IFERROR(Rohdaten!C384*100/Rohdaten!W384,"–")</f>
        <v>12.962962962963</v>
      </c>
      <c r="T384" s="8" t="n">
        <f aca="false">IFERROR(Rohdaten!C384*100/Rohdaten!X384,"–")</f>
        <v>0.297872340425532</v>
      </c>
      <c r="U384" s="8" t="n">
        <f aca="false">IFERROR(Rohdaten!C384*100/Rohdaten!Y384,"–")</f>
        <v>19.4444444444444</v>
      </c>
      <c r="V384" s="8" t="n">
        <f aca="false">IFERROR(Rohdaten!C384*100/Rohdaten!Z384,"–")</f>
        <v>0.123674911660777</v>
      </c>
    </row>
    <row r="385" customFormat="false" ht="15" hidden="false" customHeight="true" outlineLevel="0" collapsed="false">
      <c r="A385" s="4" t="str">
        <f aca="false">Rohdaten!A385</f>
        <v>Weizenkleie</v>
      </c>
      <c r="B385" s="8" t="n">
        <f aca="false">Rohdaten!C385</f>
        <v>1.7</v>
      </c>
      <c r="C385" s="8" t="n">
        <f aca="false">IFERROR(Rohdaten!C385*100/Rohdaten!G385,"–")</f>
        <v>0.787037037037037</v>
      </c>
      <c r="D385" s="8" t="n">
        <f aca="false">IFERROR(Rohdaten!C385*100/(Rohdaten!H385*9),"–")</f>
        <v>4.39276485788114</v>
      </c>
      <c r="E385" s="8" t="n">
        <f aca="false">IFERROR(Rohdaten!C385*100/(Rohdaten!I385*4),"–")</f>
        <v>2.65625</v>
      </c>
      <c r="F385" s="8" t="n">
        <f aca="false">IFERROR(Rohdaten!C385*100/(Rohdaten!J385*4),"–")</f>
        <v>0.6640625</v>
      </c>
      <c r="G385" s="9" t="str">
        <f aca="false">IFERROR(Rohdaten!C385*100/Rohdaten!K385,"–")</f>
        <v>–</v>
      </c>
      <c r="H385" s="8" t="str">
        <f aca="false">IFERROR(Rohdaten!C385*100/Rohdaten!L385,"–")</f>
        <v>–</v>
      </c>
      <c r="I385" s="9" t="str">
        <f aca="false">IFERROR(Rohdaten!C385*100/Rohdaten!M385,"–")</f>
        <v>–</v>
      </c>
      <c r="J385" s="8" t="n">
        <f aca="false">IFERROR(Rohdaten!C385*100/Rohdaten!N385,"–")</f>
        <v>113.333333333333</v>
      </c>
      <c r="K385" s="9" t="str">
        <f aca="false">IFERROR(Rohdaten!C385*100/Rohdaten!O385,"–")</f>
        <v>–</v>
      </c>
      <c r="L385" s="8" t="n">
        <f aca="false">IFERROR(Rohdaten!C385*100/Rohdaten!P385,"–")</f>
        <v>326.923076923077</v>
      </c>
      <c r="M385" s="8" t="n">
        <f aca="false">IFERROR(Rohdaten!C385*100/Rohdaten!Q385,"–")</f>
        <v>293.103448275862</v>
      </c>
      <c r="N385" s="8" t="n">
        <f aca="false">IFERROR(Rohdaten!C385*100/Rohdaten!R385,"–")</f>
        <v>12.5</v>
      </c>
      <c r="O385" s="8" t="n">
        <f aca="false">IFERROR(Rohdaten!C385*100/Rohdaten!S385,"–")</f>
        <v>130.769230769231</v>
      </c>
      <c r="P385" s="9" t="n">
        <f aca="false">IFERROR(Rohdaten!C385*100/Rohdaten!T385,"–")</f>
        <v>2.15189873417722</v>
      </c>
      <c r="Q385" s="9" t="str">
        <f aca="false">IFERROR(Rohdaten!C385*100/Rohdaten!U385,"–")</f>
        <v>–</v>
      </c>
      <c r="R385" s="8" t="n">
        <f aca="false">IFERROR(Rohdaten!C385*100/Rohdaten!V385,"–")</f>
        <v>2.32876712328767</v>
      </c>
      <c r="S385" s="8" t="n">
        <f aca="false">IFERROR(Rohdaten!C385*100/Rohdaten!W385,"–")</f>
        <v>16.0377358490566</v>
      </c>
      <c r="T385" s="8" t="n">
        <f aca="false">IFERROR(Rohdaten!C385*100/Rohdaten!X385,"–")</f>
        <v>0.27823240589198</v>
      </c>
      <c r="U385" s="8" t="n">
        <f aca="false">IFERROR(Rohdaten!C385*100/Rohdaten!Y385,"–")</f>
        <v>23.2876712328767</v>
      </c>
      <c r="V385" s="8" t="n">
        <f aca="false">IFERROR(Rohdaten!C385*100/Rohdaten!Z385,"–")</f>
        <v>0.143824027072758</v>
      </c>
    </row>
    <row r="386" customFormat="false" ht="15" hidden="false" customHeight="true" outlineLevel="0" collapsed="false">
      <c r="A386" s="4" t="str">
        <f aca="false">Rohdaten!A386</f>
        <v>Popcorn, ungesüßt</v>
      </c>
      <c r="B386" s="8" t="n">
        <f aca="false">Rohdaten!C386</f>
        <v>1.7</v>
      </c>
      <c r="C386" s="8" t="n">
        <f aca="false">IFERROR(Rohdaten!C386*100/Rohdaten!G386,"–")</f>
        <v>0.439276485788114</v>
      </c>
      <c r="D386" s="8" t="n">
        <f aca="false">IFERROR(Rohdaten!C386*100/(Rohdaten!H386*9),"–")</f>
        <v>4.19753086419753</v>
      </c>
      <c r="E386" s="8" t="n">
        <f aca="false">IFERROR(Rohdaten!C386*100/(Rohdaten!I386*4),"–")</f>
        <v>3.26923076923077</v>
      </c>
      <c r="F386" s="8" t="n">
        <f aca="false">IFERROR(Rohdaten!C386*100/(Rohdaten!J386*4),"–")</f>
        <v>0.544871794871795</v>
      </c>
      <c r="G386" s="9" t="n">
        <f aca="false">IFERROR(Rohdaten!C386*100/Rohdaten!K386,"–")</f>
        <v>8.5</v>
      </c>
      <c r="H386" s="8" t="str">
        <f aca="false">IFERROR(Rohdaten!C386*100/Rohdaten!L386,"–")</f>
        <v>–</v>
      </c>
      <c r="I386" s="9" t="str">
        <f aca="false">IFERROR(Rohdaten!C386*100/Rohdaten!M386,"–")</f>
        <v>–</v>
      </c>
      <c r="J386" s="8" t="n">
        <f aca="false">IFERROR(Rohdaten!C386*100/Rohdaten!N386,"–")</f>
        <v>850</v>
      </c>
      <c r="K386" s="9" t="str">
        <f aca="false">IFERROR(Rohdaten!C386*100/Rohdaten!O386,"–")</f>
        <v>–</v>
      </c>
      <c r="L386" s="8" t="n">
        <f aca="false">IFERROR(Rohdaten!C386*100/Rohdaten!P386,"–")</f>
        <v>850</v>
      </c>
      <c r="M386" s="8" t="n">
        <f aca="false">IFERROR(Rohdaten!C386*100/Rohdaten!Q386,"–")</f>
        <v>1133.33333333333</v>
      </c>
      <c r="N386" s="8" t="n">
        <f aca="false">IFERROR(Rohdaten!C386*100/Rohdaten!R386,"–")</f>
        <v>85</v>
      </c>
      <c r="O386" s="8" t="n">
        <f aca="false">IFERROR(Rohdaten!C386*100/Rohdaten!S386,"–")</f>
        <v>850</v>
      </c>
      <c r="P386" s="9" t="n">
        <f aca="false">IFERROR(Rohdaten!C386*100/Rohdaten!T386,"–")</f>
        <v>8.5</v>
      </c>
      <c r="Q386" s="9" t="str">
        <f aca="false">IFERROR(Rohdaten!C386*100/Rohdaten!U386,"–")</f>
        <v>–</v>
      </c>
      <c r="R386" s="8" t="n">
        <f aca="false">IFERROR(Rohdaten!C386*100/Rohdaten!V386,"–")</f>
        <v>24.2857142857143</v>
      </c>
      <c r="S386" s="8" t="n">
        <f aca="false">IFERROR(Rohdaten!C386*100/Rohdaten!W386,"–")</f>
        <v>56.6666666666667</v>
      </c>
      <c r="T386" s="8" t="n">
        <f aca="false">IFERROR(Rohdaten!C386*100/Rohdaten!X386,"–")</f>
        <v>1.18055555555556</v>
      </c>
      <c r="U386" s="8" t="n">
        <f aca="false">IFERROR(Rohdaten!C386*100/Rohdaten!Y386,"–")</f>
        <v>62.962962962963</v>
      </c>
      <c r="V386" s="8" t="n">
        <f aca="false">IFERROR(Rohdaten!C386*100/Rohdaten!Z386,"–")</f>
        <v>0.516717325227964</v>
      </c>
    </row>
    <row r="387" customFormat="false" ht="15" hidden="false" customHeight="true" outlineLevel="0" collapsed="false">
      <c r="A387" s="4" t="str">
        <f aca="false">Rohdaten!A387</f>
        <v>Cornflakes</v>
      </c>
      <c r="B387" s="8" t="n">
        <f aca="false">Rohdaten!C387</f>
        <v>1.9</v>
      </c>
      <c r="C387" s="8" t="n">
        <f aca="false">IFERROR(Rohdaten!C387*100/Rohdaten!G387,"–")</f>
        <v>0.502645502645503</v>
      </c>
      <c r="D387" s="8" t="n">
        <f aca="false">IFERROR(Rohdaten!C387*100/(Rohdaten!H387*9),"–")</f>
        <v>23.4567901234568</v>
      </c>
      <c r="E387" s="8" t="n">
        <f aca="false">IFERROR(Rohdaten!C387*100/(Rohdaten!I387*4),"–")</f>
        <v>6.33333333333333</v>
      </c>
      <c r="F387" s="8" t="n">
        <f aca="false">IFERROR(Rohdaten!C387*100/(Rohdaten!J387*4),"–")</f>
        <v>0.565476190476191</v>
      </c>
      <c r="G387" s="9" t="n">
        <f aca="false">IFERROR(Rohdaten!C387*100/Rohdaten!K387,"–")</f>
        <v>0.95</v>
      </c>
      <c r="H387" s="8" t="n">
        <f aca="false">IFERROR(Rohdaten!C387*100/Rohdaten!L387,"–")</f>
        <v>12.6666666666667</v>
      </c>
      <c r="I387" s="9" t="str">
        <f aca="false">IFERROR(Rohdaten!C387*100/Rohdaten!M387,"–")</f>
        <v>–</v>
      </c>
      <c r="J387" s="8" t="n">
        <f aca="false">IFERROR(Rohdaten!C387*100/Rohdaten!N387,"–")</f>
        <v>190</v>
      </c>
      <c r="K387" s="9" t="str">
        <f aca="false">IFERROR(Rohdaten!C387*100/Rohdaten!O387,"–")</f>
        <v>–</v>
      </c>
      <c r="L387" s="8" t="n">
        <f aca="false">IFERROR(Rohdaten!C387*100/Rohdaten!P387,"–")</f>
        <v>237.5</v>
      </c>
      <c r="M387" s="8" t="n">
        <f aca="false">IFERROR(Rohdaten!C387*100/Rohdaten!Q387,"–")</f>
        <v>211.111111111111</v>
      </c>
      <c r="N387" s="8" t="n">
        <f aca="false">IFERROR(Rohdaten!C387*100/Rohdaten!R387,"–")</f>
        <v>19</v>
      </c>
      <c r="O387" s="8" t="n">
        <f aca="false">IFERROR(Rohdaten!C387*100/Rohdaten!S387,"–")</f>
        <v>190</v>
      </c>
      <c r="P387" s="9" t="n">
        <f aca="false">IFERROR(Rohdaten!C387*100/Rohdaten!T387,"–")</f>
        <v>0.95</v>
      </c>
      <c r="Q387" s="9" t="n">
        <f aca="false">IFERROR(Rohdaten!C387*100/Rohdaten!U387,"–")</f>
        <v>95</v>
      </c>
      <c r="R387" s="8" t="n">
        <f aca="false">IFERROR(Rohdaten!C387*100/Rohdaten!V387,"–")</f>
        <v>19</v>
      </c>
      <c r="S387" s="8" t="n">
        <f aca="false">IFERROR(Rohdaten!C387*100/Rohdaten!W387,"–")</f>
        <v>19</v>
      </c>
      <c r="T387" s="8" t="n">
        <f aca="false">IFERROR(Rohdaten!C387*100/Rohdaten!X387,"–")</f>
        <v>12.6666666666667</v>
      </c>
      <c r="U387" s="8" t="n">
        <f aca="false">IFERROR(Rohdaten!C387*100/Rohdaten!Y387,"–")</f>
        <v>190</v>
      </c>
      <c r="V387" s="8" t="n">
        <f aca="false">IFERROR(Rohdaten!C387*100/Rohdaten!Z387,"–")</f>
        <v>1.58333333333333</v>
      </c>
    </row>
    <row r="388" customFormat="false" ht="15" hidden="false" customHeight="true" outlineLevel="0" collapsed="false">
      <c r="A388" s="4" t="str">
        <f aca="false">Rohdaten!A388</f>
        <v>Kidneybohnen, getrocknet</v>
      </c>
      <c r="B388" s="8" t="n">
        <f aca="false">Rohdaten!C388</f>
        <v>1.4</v>
      </c>
      <c r="C388" s="8" t="n">
        <f aca="false">IFERROR(Rohdaten!C388*100/Rohdaten!G388,"–")</f>
        <v>0.42042042042042</v>
      </c>
      <c r="D388" s="8" t="n">
        <f aca="false">IFERROR(Rohdaten!C388*100/(Rohdaten!H388*9),"–")</f>
        <v>19.4444444444444</v>
      </c>
      <c r="E388" s="8" t="n">
        <f aca="false">IFERROR(Rohdaten!C388*100/(Rohdaten!I388*4),"–")</f>
        <v>1.45833333333333</v>
      </c>
      <c r="F388" s="8" t="n">
        <f aca="false">IFERROR(Rohdaten!C388*100/(Rohdaten!J388*4),"–")</f>
        <v>0.583333333333333</v>
      </c>
      <c r="G388" s="9" t="str">
        <f aca="false">IFERROR(Rohdaten!C388*100/Rohdaten!K388,"–")</f>
        <v>–</v>
      </c>
      <c r="H388" s="8" t="str">
        <f aca="false">IFERROR(Rohdaten!C388*100/Rohdaten!L388,"–")</f>
        <v>–</v>
      </c>
      <c r="I388" s="9" t="str">
        <f aca="false">IFERROR(Rohdaten!C388*100/Rohdaten!M388,"–")</f>
        <v>–</v>
      </c>
      <c r="J388" s="8" t="str">
        <f aca="false">IFERROR(Rohdaten!C388*100/Rohdaten!N388,"–")</f>
        <v>–</v>
      </c>
      <c r="K388" s="9" t="str">
        <f aca="false">IFERROR(Rohdaten!C388*100/Rohdaten!O388,"–")</f>
        <v>–</v>
      </c>
      <c r="L388" s="8" t="n">
        <f aca="false">IFERROR(Rohdaten!C388*100/Rohdaten!P388,"–")</f>
        <v>264.150943396226</v>
      </c>
      <c r="M388" s="8" t="n">
        <f aca="false">IFERROR(Rohdaten!C388*100/Rohdaten!Q388,"–")</f>
        <v>1000</v>
      </c>
      <c r="N388" s="8" t="n">
        <f aca="false">IFERROR(Rohdaten!C388*100/Rohdaten!R388,"–")</f>
        <v>66.6666666666667</v>
      </c>
      <c r="O388" s="8" t="n">
        <f aca="false">IFERROR(Rohdaten!C388*100/Rohdaten!S388,"–")</f>
        <v>350</v>
      </c>
      <c r="P388" s="9" t="n">
        <f aca="false">IFERROR(Rohdaten!C388*100/Rohdaten!T388,"–")</f>
        <v>0.355329949238579</v>
      </c>
      <c r="Q388" s="9" t="str">
        <f aca="false">IFERROR(Rohdaten!C388*100/Rohdaten!U388,"–")</f>
        <v>–</v>
      </c>
      <c r="R388" s="8" t="n">
        <f aca="false">IFERROR(Rohdaten!C388*100/Rohdaten!V388,"–")</f>
        <v>0.979020979020979</v>
      </c>
      <c r="S388" s="8" t="n">
        <f aca="false">IFERROR(Rohdaten!C388*100/Rohdaten!W388,"–")</f>
        <v>17.0731707317073</v>
      </c>
      <c r="T388" s="8" t="n">
        <f aca="false">IFERROR(Rohdaten!C388*100/Rohdaten!X388,"–")</f>
        <v>1</v>
      </c>
      <c r="U388" s="8" t="n">
        <f aca="false">IFERROR(Rohdaten!C388*100/Rohdaten!Y388,"–")</f>
        <v>50</v>
      </c>
      <c r="V388" s="8" t="n">
        <f aca="false">IFERROR(Rohdaten!C388*100/Rohdaten!Z388,"–")</f>
        <v>0.103016924208977</v>
      </c>
    </row>
    <row r="389" customFormat="false" ht="15" hidden="false" customHeight="true" outlineLevel="0" collapsed="false">
      <c r="A389" s="4" t="str">
        <f aca="false">Rohdaten!A389</f>
        <v>Schwarze Bohnen, getrocknet</v>
      </c>
      <c r="B389" s="8" t="n">
        <f aca="false">Rohdaten!C389</f>
        <v>1.4</v>
      </c>
      <c r="C389" s="8" t="n">
        <f aca="false">IFERROR(Rohdaten!C389*100/Rohdaten!G389,"–")</f>
        <v>0.410557184750733</v>
      </c>
      <c r="D389" s="8" t="n">
        <f aca="false">IFERROR(Rohdaten!C389*100/(Rohdaten!H389*9),"–")</f>
        <v>11.1111111111111</v>
      </c>
      <c r="E389" s="8" t="n">
        <f aca="false">IFERROR(Rohdaten!C389*100/(Rohdaten!I389*4),"–")</f>
        <v>1.59090909090909</v>
      </c>
      <c r="F389" s="8" t="n">
        <f aca="false">IFERROR(Rohdaten!C389*100/(Rohdaten!J389*4),"–")</f>
        <v>0.564516129032258</v>
      </c>
      <c r="G389" s="9" t="str">
        <f aca="false">IFERROR(Rohdaten!C389*100/Rohdaten!K389,"–")</f>
        <v>–</v>
      </c>
      <c r="H389" s="8" t="str">
        <f aca="false">IFERROR(Rohdaten!C389*100/Rohdaten!L389,"–")</f>
        <v>–</v>
      </c>
      <c r="I389" s="9" t="str">
        <f aca="false">IFERROR(Rohdaten!C389*100/Rohdaten!M389,"–")</f>
        <v>–</v>
      </c>
      <c r="J389" s="8" t="str">
        <f aca="false">IFERROR(Rohdaten!C389*100/Rohdaten!N389,"–")</f>
        <v>–</v>
      </c>
      <c r="K389" s="9" t="str">
        <f aca="false">IFERROR(Rohdaten!C389*100/Rohdaten!O389,"–")</f>
        <v>–</v>
      </c>
      <c r="L389" s="8" t="n">
        <f aca="false">IFERROR(Rohdaten!C389*100/Rohdaten!P389,"–")</f>
        <v>155.555555555556</v>
      </c>
      <c r="M389" s="8" t="n">
        <f aca="false">IFERROR(Rohdaten!C389*100/Rohdaten!Q389,"–")</f>
        <v>736.842105263158</v>
      </c>
      <c r="N389" s="8" t="n">
        <f aca="false">IFERROR(Rohdaten!C389*100/Rohdaten!R389,"–")</f>
        <v>66.6666666666667</v>
      </c>
      <c r="O389" s="8" t="n">
        <f aca="false">IFERROR(Rohdaten!C389*100/Rohdaten!S389,"–")</f>
        <v>466.666666666667</v>
      </c>
      <c r="P389" s="9" t="n">
        <f aca="false">IFERROR(Rohdaten!C389*100/Rohdaten!T389,"–")</f>
        <v>0.315315315315315</v>
      </c>
      <c r="Q389" s="9" t="str">
        <f aca="false">IFERROR(Rohdaten!C389*100/Rohdaten!U389,"–")</f>
        <v>–</v>
      </c>
      <c r="R389" s="8" t="n">
        <f aca="false">IFERROR(Rohdaten!C389*100/Rohdaten!V389,"–")</f>
        <v>1.13821138211382</v>
      </c>
      <c r="S389" s="8" t="n">
        <f aca="false">IFERROR(Rohdaten!C389*100/Rohdaten!W389,"–")</f>
        <v>17.5</v>
      </c>
      <c r="T389" s="8" t="n">
        <f aca="false">IFERROR(Rohdaten!C389*100/Rohdaten!X389,"–")</f>
        <v>0.818713450292398</v>
      </c>
      <c r="U389" s="8" t="n">
        <f aca="false">IFERROR(Rohdaten!C389*100/Rohdaten!Y389,"–")</f>
        <v>38.8888888888889</v>
      </c>
      <c r="V389" s="8" t="n">
        <f aca="false">IFERROR(Rohdaten!C389*100/Rohdaten!Z389,"–")</f>
        <v>0.0944032366824005</v>
      </c>
    </row>
    <row r="390" customFormat="false" ht="15" hidden="false" customHeight="true" outlineLevel="0" collapsed="false">
      <c r="A390" s="4" t="str">
        <f aca="false">Rohdaten!A390</f>
        <v>Pintobohnen, getrocknet</v>
      </c>
      <c r="B390" s="8" t="n">
        <f aca="false">Rohdaten!C390</f>
        <v>1.4</v>
      </c>
      <c r="C390" s="8" t="n">
        <f aca="false">IFERROR(Rohdaten!C390*100/Rohdaten!G390,"–")</f>
        <v>0.403458213256484</v>
      </c>
      <c r="D390" s="8" t="n">
        <f aca="false">IFERROR(Rohdaten!C390*100/(Rohdaten!H390*9),"–")</f>
        <v>12.962962962963</v>
      </c>
      <c r="E390" s="8" t="n">
        <f aca="false">IFERROR(Rohdaten!C390*100/(Rohdaten!I390*4),"–")</f>
        <v>1.66666666666667</v>
      </c>
      <c r="F390" s="8" t="n">
        <f aca="false">IFERROR(Rohdaten!C390*100/(Rohdaten!J390*4),"–")</f>
        <v>0.555555555555556</v>
      </c>
      <c r="G390" s="9" t="str">
        <f aca="false">IFERROR(Rohdaten!C390*100/Rohdaten!K390,"–")</f>
        <v>–</v>
      </c>
      <c r="H390" s="8" t="n">
        <f aca="false">IFERROR(Rohdaten!C390*100/Rohdaten!L390,"–")</f>
        <v>31.1111111111111</v>
      </c>
      <c r="I390" s="9" t="str">
        <f aca="false">IFERROR(Rohdaten!C390*100/Rohdaten!M390,"–")</f>
        <v>–</v>
      </c>
      <c r="J390" s="8" t="str">
        <f aca="false">IFERROR(Rohdaten!C390*100/Rohdaten!N390,"–")</f>
        <v>–</v>
      </c>
      <c r="K390" s="9" t="str">
        <f aca="false">IFERROR(Rohdaten!C390*100/Rohdaten!O390,"–")</f>
        <v>–</v>
      </c>
      <c r="L390" s="8" t="n">
        <f aca="false">IFERROR(Rohdaten!C390*100/Rohdaten!P390,"–")</f>
        <v>164.705882352941</v>
      </c>
      <c r="M390" s="8" t="n">
        <f aca="false">IFERROR(Rohdaten!C390*100/Rohdaten!Q390,"–")</f>
        <v>666.666666666667</v>
      </c>
      <c r="N390" s="8" t="n">
        <f aca="false">IFERROR(Rohdaten!C390*100/Rohdaten!R390,"–")</f>
        <v>63.6363636363636</v>
      </c>
      <c r="O390" s="8" t="n">
        <f aca="false">IFERROR(Rohdaten!C390*100/Rohdaten!S390,"–")</f>
        <v>318.181818181818</v>
      </c>
      <c r="P390" s="9" t="n">
        <f aca="false">IFERROR(Rohdaten!C390*100/Rohdaten!T390,"–")</f>
        <v>0.266666666666667</v>
      </c>
      <c r="Q390" s="9" t="str">
        <f aca="false">IFERROR(Rohdaten!C390*100/Rohdaten!U390,"–")</f>
        <v>–</v>
      </c>
      <c r="R390" s="8" t="n">
        <f aca="false">IFERROR(Rohdaten!C390*100/Rohdaten!V390,"–")</f>
        <v>1.23893805309735</v>
      </c>
      <c r="S390" s="8" t="n">
        <f aca="false">IFERROR(Rohdaten!C390*100/Rohdaten!W390,"–")</f>
        <v>27.4509803921569</v>
      </c>
      <c r="T390" s="8" t="n">
        <f aca="false">IFERROR(Rohdaten!C390*100/Rohdaten!X390,"–")</f>
        <v>0.795454545454545</v>
      </c>
      <c r="U390" s="8" t="n">
        <f aca="false">IFERROR(Rohdaten!C390*100/Rohdaten!Y390,"–")</f>
        <v>60.8695652173913</v>
      </c>
      <c r="V390" s="8" t="n">
        <f aca="false">IFERROR(Rohdaten!C390*100/Rohdaten!Z390,"–")</f>
        <v>0.100502512562814</v>
      </c>
    </row>
    <row r="391" customFormat="false" ht="15" hidden="false" customHeight="true" outlineLevel="0" collapsed="false">
      <c r="A391" s="4" t="str">
        <f aca="false">Rohdaten!A391</f>
        <v>Limabohnen, getrocknet</v>
      </c>
      <c r="B391" s="8" t="n">
        <f aca="false">Rohdaten!C391</f>
        <v>1.4</v>
      </c>
      <c r="C391" s="8" t="n">
        <f aca="false">IFERROR(Rohdaten!C391*100/Rohdaten!G391,"–")</f>
        <v>0.414201183431953</v>
      </c>
      <c r="D391" s="8" t="n">
        <f aca="false">IFERROR(Rohdaten!C391*100/(Rohdaten!H391*9),"–")</f>
        <v>22.2222222222222</v>
      </c>
      <c r="E391" s="8" t="n">
        <f aca="false">IFERROR(Rohdaten!C391*100/(Rohdaten!I391*4),"–")</f>
        <v>1.66666666666667</v>
      </c>
      <c r="F391" s="8" t="n">
        <f aca="false">IFERROR(Rohdaten!C391*100/(Rohdaten!J391*4),"–")</f>
        <v>0.555555555555556</v>
      </c>
      <c r="G391" s="9" t="str">
        <f aca="false">IFERROR(Rohdaten!C391*100/Rohdaten!K391,"–")</f>
        <v>–</v>
      </c>
      <c r="H391" s="8" t="str">
        <f aca="false">IFERROR(Rohdaten!C391*100/Rohdaten!L391,"–")</f>
        <v>–</v>
      </c>
      <c r="I391" s="9" t="str">
        <f aca="false">IFERROR(Rohdaten!C391*100/Rohdaten!M391,"–")</f>
        <v>–</v>
      </c>
      <c r="J391" s="8" t="str">
        <f aca="false">IFERROR(Rohdaten!C391*100/Rohdaten!N391,"–")</f>
        <v>–</v>
      </c>
      <c r="K391" s="9" t="str">
        <f aca="false">IFERROR(Rohdaten!C391*100/Rohdaten!O391,"–")</f>
        <v>–</v>
      </c>
      <c r="L391" s="8" t="n">
        <f aca="false">IFERROR(Rohdaten!C391*100/Rohdaten!P391,"–")</f>
        <v>280</v>
      </c>
      <c r="M391" s="8" t="n">
        <f aca="false">IFERROR(Rohdaten!C391*100/Rohdaten!Q391,"–")</f>
        <v>823.529411764706</v>
      </c>
      <c r="N391" s="8" t="n">
        <f aca="false">IFERROR(Rohdaten!C391*100/Rohdaten!R391,"–")</f>
        <v>87.5</v>
      </c>
      <c r="O391" s="8" t="n">
        <f aca="false">IFERROR(Rohdaten!C391*100/Rohdaten!S391,"–")</f>
        <v>274.509803921569</v>
      </c>
      <c r="P391" s="9" t="n">
        <f aca="false">IFERROR(Rohdaten!C391*100/Rohdaten!T391,"–")</f>
        <v>0.354430379746835</v>
      </c>
      <c r="Q391" s="9" t="str">
        <f aca="false">IFERROR(Rohdaten!C391*100/Rohdaten!U391,"–")</f>
        <v>–</v>
      </c>
      <c r="R391" s="8" t="n">
        <f aca="false">IFERROR(Rohdaten!C391*100/Rohdaten!V391,"–")</f>
        <v>1.7283950617284</v>
      </c>
      <c r="S391" s="8" t="n">
        <f aca="false">IFERROR(Rohdaten!C391*100/Rohdaten!W391,"–")</f>
        <v>18.6666666666667</v>
      </c>
      <c r="T391" s="8" t="n">
        <f aca="false">IFERROR(Rohdaten!C391*100/Rohdaten!X391,"–")</f>
        <v>0.625</v>
      </c>
      <c r="U391" s="8" t="n">
        <f aca="false">IFERROR(Rohdaten!C391*100/Rohdaten!Y391,"–")</f>
        <v>50</v>
      </c>
      <c r="V391" s="8" t="n">
        <f aca="false">IFERROR(Rohdaten!C391*100/Rohdaten!Z391,"–")</f>
        <v>0.0812064965197216</v>
      </c>
    </row>
    <row r="392" customFormat="false" ht="15" hidden="false" customHeight="true" outlineLevel="0" collapsed="false">
      <c r="A392" s="4" t="str">
        <f aca="false">Rohdaten!A392</f>
        <v>Mungobohnen, getrocknet</v>
      </c>
      <c r="B392" s="8" t="n">
        <f aca="false">Rohdaten!C392</f>
        <v>1.3</v>
      </c>
      <c r="C392" s="8" t="n">
        <f aca="false">IFERROR(Rohdaten!C392*100/Rohdaten!G392,"–")</f>
        <v>0.37463976945245</v>
      </c>
      <c r="D392" s="8" t="n">
        <f aca="false">IFERROR(Rohdaten!C392*100/(Rohdaten!H392*9),"–")</f>
        <v>12.037037037037</v>
      </c>
      <c r="E392" s="8" t="n">
        <f aca="false">IFERROR(Rohdaten!C392*100/(Rohdaten!I392*4),"–")</f>
        <v>1.35416666666667</v>
      </c>
      <c r="F392" s="8" t="n">
        <f aca="false">IFERROR(Rohdaten!C392*100/(Rohdaten!J392*4),"–")</f>
        <v>0.515873015873016</v>
      </c>
      <c r="G392" s="9" t="n">
        <f aca="false">IFERROR(Rohdaten!C392*100/Rohdaten!K392,"–")</f>
        <v>5.41666666666667</v>
      </c>
      <c r="H392" s="8" t="n">
        <f aca="false">IFERROR(Rohdaten!C392*100/Rohdaten!L392,"–")</f>
        <v>27.0833333333333</v>
      </c>
      <c r="I392" s="9" t="str">
        <f aca="false">IFERROR(Rohdaten!C392*100/Rohdaten!M392,"–")</f>
        <v>–</v>
      </c>
      <c r="J392" s="8" t="n">
        <f aca="false">IFERROR(Rohdaten!C392*100/Rohdaten!N392,"–")</f>
        <v>260</v>
      </c>
      <c r="K392" s="9" t="n">
        <f aca="false">IFERROR(Rohdaten!C392*100/Rohdaten!O392,"–")</f>
        <v>14.4444444444444</v>
      </c>
      <c r="L392" s="8" t="n">
        <f aca="false">IFERROR(Rohdaten!C392*100/Rohdaten!P392,"–")</f>
        <v>209.677419354839</v>
      </c>
      <c r="M392" s="8" t="n">
        <f aca="false">IFERROR(Rohdaten!C392*100/Rohdaten!Q392,"–")</f>
        <v>565.217391304348</v>
      </c>
      <c r="N392" s="8" t="n">
        <f aca="false">IFERROR(Rohdaten!C392*100/Rohdaten!R392,"–")</f>
        <v>56.5217391304348</v>
      </c>
      <c r="O392" s="8" t="n">
        <f aca="false">IFERROR(Rohdaten!C392*100/Rohdaten!S392,"–")</f>
        <v>342.105263157895</v>
      </c>
      <c r="P392" s="9" t="n">
        <f aca="false">IFERROR(Rohdaten!C392*100/Rohdaten!T392,"–")</f>
        <v>0.208</v>
      </c>
      <c r="Q392" s="9" t="str">
        <f aca="false">IFERROR(Rohdaten!C392*100/Rohdaten!U392,"–")</f>
        <v>–</v>
      </c>
      <c r="R392" s="8" t="n">
        <f aca="false">IFERROR(Rohdaten!C392*100/Rohdaten!V392,"–")</f>
        <v>0.984848484848485</v>
      </c>
      <c r="S392" s="8" t="n">
        <f aca="false">IFERROR(Rohdaten!C392*100/Rohdaten!W392,"–")</f>
        <v>19.4029850746269</v>
      </c>
      <c r="T392" s="8" t="n">
        <f aca="false">IFERROR(Rohdaten!C392*100/Rohdaten!X392,"–")</f>
        <v>0.687830687830688</v>
      </c>
      <c r="U392" s="8" t="n">
        <f aca="false">IFERROR(Rohdaten!C392*100/Rohdaten!Y392,"–")</f>
        <v>48.1481481481481</v>
      </c>
      <c r="V392" s="8" t="n">
        <f aca="false">IFERROR(Rohdaten!C392*100/Rohdaten!Z392,"–")</f>
        <v>0.104333868378812</v>
      </c>
    </row>
    <row r="393" customFormat="false" ht="15" hidden="false" customHeight="true" outlineLevel="0" collapsed="false">
      <c r="A393" s="4" t="str">
        <f aca="false">Rohdaten!A393</f>
        <v>Adzukibohnen, getrocknet</v>
      </c>
      <c r="B393" s="8" t="n">
        <f aca="false">Rohdaten!C393</f>
        <v>1.4</v>
      </c>
      <c r="C393" s="8" t="n">
        <f aca="false">IFERROR(Rohdaten!C393*100/Rohdaten!G393,"–")</f>
        <v>0.425531914893617</v>
      </c>
      <c r="D393" s="8" t="n">
        <f aca="false">IFERROR(Rohdaten!C393*100/(Rohdaten!H393*9),"–")</f>
        <v>31.1111111111111</v>
      </c>
      <c r="E393" s="8" t="n">
        <f aca="false">IFERROR(Rohdaten!C393*100/(Rohdaten!I393*4),"–")</f>
        <v>1.75</v>
      </c>
      <c r="F393" s="8" t="n">
        <f aca="false">IFERROR(Rohdaten!C393*100/(Rohdaten!J393*4),"–")</f>
        <v>0.555555555555556</v>
      </c>
      <c r="G393" s="9" t="str">
        <f aca="false">IFERROR(Rohdaten!C393*100/Rohdaten!K393,"–")</f>
        <v>–</v>
      </c>
      <c r="H393" s="8" t="str">
        <f aca="false">IFERROR(Rohdaten!C393*100/Rohdaten!L393,"–")</f>
        <v>–</v>
      </c>
      <c r="I393" s="9" t="str">
        <f aca="false">IFERROR(Rohdaten!C393*100/Rohdaten!M393,"–")</f>
        <v>–</v>
      </c>
      <c r="J393" s="8" t="str">
        <f aca="false">IFERROR(Rohdaten!C393*100/Rohdaten!N393,"–")</f>
        <v>–</v>
      </c>
      <c r="K393" s="9" t="str">
        <f aca="false">IFERROR(Rohdaten!C393*100/Rohdaten!O393,"–")</f>
        <v>–</v>
      </c>
      <c r="L393" s="8" t="n">
        <f aca="false">IFERROR(Rohdaten!C393*100/Rohdaten!P393,"–")</f>
        <v>304.347826086957</v>
      </c>
      <c r="M393" s="8" t="n">
        <f aca="false">IFERROR(Rohdaten!C393*100/Rohdaten!Q393,"–")</f>
        <v>636.363636363636</v>
      </c>
      <c r="N393" s="8" t="n">
        <f aca="false">IFERROR(Rohdaten!C393*100/Rohdaten!R393,"–")</f>
        <v>53.8461538461539</v>
      </c>
      <c r="O393" s="8" t="n">
        <f aca="false">IFERROR(Rohdaten!C393*100/Rohdaten!S393,"–")</f>
        <v>400</v>
      </c>
      <c r="P393" s="9" t="n">
        <f aca="false">IFERROR(Rohdaten!C393*100/Rohdaten!T393,"–")</f>
        <v>0.22508038585209</v>
      </c>
      <c r="Q393" s="9" t="str">
        <f aca="false">IFERROR(Rohdaten!C393*100/Rohdaten!U393,"–")</f>
        <v>–</v>
      </c>
      <c r="R393" s="8" t="n">
        <f aca="false">IFERROR(Rohdaten!C393*100/Rohdaten!V393,"–")</f>
        <v>2.12121212121212</v>
      </c>
      <c r="S393" s="8" t="n">
        <f aca="false">IFERROR(Rohdaten!C393*100/Rohdaten!W393,"–")</f>
        <v>28</v>
      </c>
      <c r="T393" s="8" t="n">
        <f aca="false">IFERROR(Rohdaten!C393*100/Rohdaten!X393,"–")</f>
        <v>1.10236220472441</v>
      </c>
      <c r="U393" s="8" t="n">
        <f aca="false">IFERROR(Rohdaten!C393*100/Rohdaten!Y393,"–")</f>
        <v>28</v>
      </c>
      <c r="V393" s="8" t="n">
        <f aca="false">IFERROR(Rohdaten!C393*100/Rohdaten!Z393,"–")</f>
        <v>0.111642743221691</v>
      </c>
    </row>
    <row r="394" customFormat="false" ht="15" hidden="false" customHeight="true" outlineLevel="0" collapsed="false">
      <c r="A394" s="4" t="str">
        <f aca="false">Rohdaten!A394</f>
        <v>Augenbohnen, getrocknet</v>
      </c>
      <c r="B394" s="8" t="n">
        <f aca="false">Rohdaten!C394</f>
        <v>1.4</v>
      </c>
      <c r="C394" s="8" t="n">
        <f aca="false">IFERROR(Rohdaten!C394*100/Rohdaten!G394,"–")</f>
        <v>0.416666666666667</v>
      </c>
      <c r="D394" s="8" t="n">
        <f aca="false">IFERROR(Rohdaten!C394*100/(Rohdaten!H394*9),"–")</f>
        <v>11.965811965812</v>
      </c>
      <c r="E394" s="8" t="n">
        <f aca="false">IFERROR(Rohdaten!C394*100/(Rohdaten!I394*4),"–")</f>
        <v>1.45833333333333</v>
      </c>
      <c r="F394" s="8" t="n">
        <f aca="false">IFERROR(Rohdaten!C394*100/(Rohdaten!J394*4),"–")</f>
        <v>0.583333333333333</v>
      </c>
      <c r="G394" s="9" t="n">
        <f aca="false">IFERROR(Rohdaten!C394*100/Rohdaten!K394,"–")</f>
        <v>46.6666666666667</v>
      </c>
      <c r="H394" s="8" t="n">
        <f aca="false">IFERROR(Rohdaten!C394*100/Rohdaten!L394,"–")</f>
        <v>93.3333333333333</v>
      </c>
      <c r="I394" s="9" t="str">
        <f aca="false">IFERROR(Rohdaten!C394*100/Rohdaten!M394,"–")</f>
        <v>–</v>
      </c>
      <c r="J394" s="8" t="str">
        <f aca="false">IFERROR(Rohdaten!C394*100/Rohdaten!N394,"–")</f>
        <v>–</v>
      </c>
      <c r="K394" s="9" t="str">
        <f aca="false">IFERROR(Rohdaten!C394*100/Rohdaten!O394,"–")</f>
        <v>–</v>
      </c>
      <c r="L394" s="8" t="n">
        <f aca="false">IFERROR(Rohdaten!C394*100/Rohdaten!P394,"–")</f>
        <v>164.705882352941</v>
      </c>
      <c r="M394" s="8" t="n">
        <f aca="false">IFERROR(Rohdaten!C394*100/Rohdaten!Q394,"–")</f>
        <v>608.695652173913</v>
      </c>
      <c r="N394" s="8" t="n">
        <f aca="false">IFERROR(Rohdaten!C394*100/Rohdaten!R394,"–")</f>
        <v>66.6666666666667</v>
      </c>
      <c r="O394" s="8" t="n">
        <f aca="false">IFERROR(Rohdaten!C394*100/Rohdaten!S394,"–")</f>
        <v>388.888888888889</v>
      </c>
      <c r="P394" s="9" t="n">
        <f aca="false">IFERROR(Rohdaten!C394*100/Rohdaten!T394,"–")</f>
        <v>0.221169036334913</v>
      </c>
      <c r="Q394" s="9" t="str">
        <f aca="false">IFERROR(Rohdaten!C394*100/Rohdaten!U394,"–")</f>
        <v>–</v>
      </c>
      <c r="R394" s="8" t="n">
        <f aca="false">IFERROR(Rohdaten!C394*100/Rohdaten!V394,"–")</f>
        <v>1.27272727272727</v>
      </c>
      <c r="S394" s="8" t="n">
        <f aca="false">IFERROR(Rohdaten!C394*100/Rohdaten!W394,"–")</f>
        <v>16.8674698795181</v>
      </c>
      <c r="T394" s="8" t="n">
        <f aca="false">IFERROR(Rohdaten!C394*100/Rohdaten!X394,"–")</f>
        <v>0.760869565217391</v>
      </c>
      <c r="U394" s="8" t="n">
        <f aca="false">IFERROR(Rohdaten!C394*100/Rohdaten!Y394,"–")</f>
        <v>41.1764705882353</v>
      </c>
      <c r="V394" s="8" t="n">
        <f aca="false">IFERROR(Rohdaten!C394*100/Rohdaten!Z394,"–")</f>
        <v>0.101818181818182</v>
      </c>
    </row>
    <row r="395" customFormat="false" ht="15" hidden="false" customHeight="true" outlineLevel="0" collapsed="false">
      <c r="A395" s="4" t="str">
        <f aca="false">Rohdaten!A395</f>
        <v>Sojabohnen, ganz, getrocknet</v>
      </c>
      <c r="B395" s="8" t="n">
        <f aca="false">Rohdaten!C395</f>
        <v>1</v>
      </c>
      <c r="C395" s="8" t="n">
        <f aca="false">IFERROR(Rohdaten!C395*100/Rohdaten!G395,"–")</f>
        <v>0.224215246636771</v>
      </c>
      <c r="D395" s="8" t="n">
        <f aca="false">IFERROR(Rohdaten!C395*100/(Rohdaten!H395*9),"–")</f>
        <v>0.555555555555556</v>
      </c>
      <c r="E395" s="8" t="n">
        <f aca="false">IFERROR(Rohdaten!C395*100/(Rohdaten!I395*4),"–")</f>
        <v>0.694444444444444</v>
      </c>
      <c r="F395" s="8" t="n">
        <f aca="false">IFERROR(Rohdaten!C395*100/(Rohdaten!J395*4),"–")</f>
        <v>0.833333333333333</v>
      </c>
      <c r="G395" s="9" t="n">
        <f aca="false">IFERROR(Rohdaten!C395*100/Rohdaten!K395,"–")</f>
        <v>100</v>
      </c>
      <c r="H395" s="8" t="n">
        <f aca="false">IFERROR(Rohdaten!C395*100/Rohdaten!L395,"–")</f>
        <v>16.6666666666667</v>
      </c>
      <c r="I395" s="9" t="str">
        <f aca="false">IFERROR(Rohdaten!C395*100/Rohdaten!M395,"–")</f>
        <v>–</v>
      </c>
      <c r="J395" s="8" t="n">
        <f aca="false">IFERROR(Rohdaten!C395*100/Rohdaten!N395,"–")</f>
        <v>52.6315789473684</v>
      </c>
      <c r="K395" s="9" t="n">
        <f aca="false">IFERROR(Rohdaten!C395*100/Rohdaten!O395,"–")</f>
        <v>2.12765957446809</v>
      </c>
      <c r="L395" s="8" t="n">
        <f aca="false">IFERROR(Rohdaten!C395*100/Rohdaten!P395,"–")</f>
        <v>114.942528735632</v>
      </c>
      <c r="M395" s="8" t="n">
        <f aca="false">IFERROR(Rohdaten!C395*100/Rohdaten!Q395,"–")</f>
        <v>114.942528735632</v>
      </c>
      <c r="N395" s="8" t="n">
        <f aca="false">IFERROR(Rohdaten!C395*100/Rohdaten!R395,"–")</f>
        <v>62.5</v>
      </c>
      <c r="O395" s="8" t="n">
        <f aca="false">IFERROR(Rohdaten!C395*100/Rohdaten!S395,"–")</f>
        <v>263.157894736842</v>
      </c>
      <c r="P395" s="9" t="n">
        <f aca="false">IFERROR(Rohdaten!C395*100/Rohdaten!T395,"–")</f>
        <v>0.266666666666667</v>
      </c>
      <c r="Q395" s="9" t="str">
        <f aca="false">IFERROR(Rohdaten!C395*100/Rohdaten!U395,"–")</f>
        <v>–</v>
      </c>
      <c r="R395" s="8" t="n">
        <f aca="false">IFERROR(Rohdaten!C395*100/Rohdaten!V395,"–")</f>
        <v>0.36101083032491</v>
      </c>
      <c r="S395" s="8" t="n">
        <f aca="false">IFERROR(Rohdaten!C395*100/Rohdaten!W395,"–")</f>
        <v>6.36942675159236</v>
      </c>
      <c r="T395" s="8" t="n">
        <f aca="false">IFERROR(Rohdaten!C395*100/Rohdaten!X395,"–")</f>
        <v>0.357142857142857</v>
      </c>
      <c r="U395" s="8" t="n">
        <f aca="false">IFERROR(Rohdaten!C395*100/Rohdaten!Y395,"–")</f>
        <v>20.4081632653061</v>
      </c>
      <c r="V395" s="8" t="n">
        <f aca="false">IFERROR(Rohdaten!C395*100/Rohdaten!Z395,"–")</f>
        <v>0.0556483027267668</v>
      </c>
    </row>
    <row r="396" customFormat="false" ht="15" hidden="false" customHeight="true" outlineLevel="0" collapsed="false">
      <c r="A396" s="4" t="str">
        <f aca="false">Rohdaten!A396</f>
        <v>Edamame</v>
      </c>
      <c r="B396" s="8" t="n">
        <f aca="false">Rohdaten!C396</f>
        <v>0.9</v>
      </c>
      <c r="C396" s="8" t="n">
        <f aca="false">IFERROR(Rohdaten!C396*100/Rohdaten!G396,"–")</f>
        <v>0.737704918032787</v>
      </c>
      <c r="D396" s="8" t="n">
        <f aca="false">IFERROR(Rohdaten!C396*100/(Rohdaten!H396*9),"–")</f>
        <v>1.92307692307692</v>
      </c>
      <c r="E396" s="8" t="n">
        <f aca="false">IFERROR(Rohdaten!C396*100/(Rohdaten!I396*4),"–")</f>
        <v>2.04545454545455</v>
      </c>
      <c r="F396" s="8" t="n">
        <f aca="false">IFERROR(Rohdaten!C396*100/(Rohdaten!J396*4),"–")</f>
        <v>2.25</v>
      </c>
      <c r="G396" s="9" t="n">
        <f aca="false">IFERROR(Rohdaten!C396*100/Rohdaten!K396,"–")</f>
        <v>18</v>
      </c>
      <c r="H396" s="8" t="n">
        <f aca="false">IFERROR(Rohdaten!C396*100/Rohdaten!L396,"–")</f>
        <v>14.7540983606557</v>
      </c>
      <c r="I396" s="9" t="str">
        <f aca="false">IFERROR(Rohdaten!C396*100/Rohdaten!M396,"–")</f>
        <v>–</v>
      </c>
      <c r="J396" s="8" t="str">
        <f aca="false">IFERROR(Rohdaten!C396*100/Rohdaten!N396,"–")</f>
        <v>–</v>
      </c>
      <c r="K396" s="9" t="str">
        <f aca="false">IFERROR(Rohdaten!C396*100/Rohdaten!O396,"–")</f>
        <v>–</v>
      </c>
      <c r="L396" s="8" t="n">
        <f aca="false">IFERROR(Rohdaten!C396*100/Rohdaten!P396,"–")</f>
        <v>562.5</v>
      </c>
      <c r="M396" s="8" t="n">
        <f aca="false">IFERROR(Rohdaten!C396*100/Rohdaten!Q396,"–")</f>
        <v>600</v>
      </c>
      <c r="N396" s="8" t="n">
        <f aca="false">IFERROR(Rohdaten!C396*100/Rohdaten!R396,"–")</f>
        <v>90</v>
      </c>
      <c r="O396" s="8" t="n">
        <f aca="false">IFERROR(Rohdaten!C396*100/Rohdaten!S396,"–")</f>
        <v>1500</v>
      </c>
      <c r="P396" s="9" t="n">
        <f aca="false">IFERROR(Rohdaten!C396*100/Rohdaten!T396,"–")</f>
        <v>0.289389067524116</v>
      </c>
      <c r="Q396" s="9" t="str">
        <f aca="false">IFERROR(Rohdaten!C396*100/Rohdaten!U396,"–")</f>
        <v>–</v>
      </c>
      <c r="R396" s="8" t="n">
        <f aca="false">IFERROR(Rohdaten!C396*100/Rohdaten!V396,"–")</f>
        <v>1.42857142857143</v>
      </c>
      <c r="S396" s="8" t="n">
        <f aca="false">IFERROR(Rohdaten!C396*100/Rohdaten!W396,"–")</f>
        <v>39.1304347826087</v>
      </c>
      <c r="T396" s="8" t="n">
        <f aca="false">IFERROR(Rohdaten!C396*100/Rohdaten!X396,"–")</f>
        <v>1.40625</v>
      </c>
      <c r="U396" s="8" t="n">
        <f aca="false">IFERROR(Rohdaten!C396*100/Rohdaten!Y396,"–")</f>
        <v>64.2857142857143</v>
      </c>
      <c r="V396" s="8" t="n">
        <f aca="false">IFERROR(Rohdaten!C396*100/Rohdaten!Z396,"–")</f>
        <v>0.206422018348624</v>
      </c>
    </row>
    <row r="397" customFormat="false" ht="15" hidden="false" customHeight="true" outlineLevel="0" collapsed="false">
      <c r="A397" s="4" t="str">
        <f aca="false">Rohdaten!A397</f>
        <v>Wachtelbohnen (Borlotti)</v>
      </c>
      <c r="B397" s="8" t="n">
        <f aca="false">Rohdaten!C397</f>
        <v>1.4</v>
      </c>
      <c r="C397" s="8" t="n">
        <f aca="false">IFERROR(Rohdaten!C397*100/Rohdaten!G397,"–")</f>
        <v>0.415430267062315</v>
      </c>
      <c r="D397" s="8" t="n">
        <f aca="false">IFERROR(Rohdaten!C397*100/(Rohdaten!H397*9),"–")</f>
        <v>12.962962962963</v>
      </c>
      <c r="E397" s="8" t="n">
        <f aca="false">IFERROR(Rohdaten!C397*100/(Rohdaten!I397*4),"–")</f>
        <v>1.52173913043478</v>
      </c>
      <c r="F397" s="8" t="n">
        <f aca="false">IFERROR(Rohdaten!C397*100/(Rohdaten!J397*4),"–")</f>
        <v>0.573770491803279</v>
      </c>
      <c r="G397" s="9" t="str">
        <f aca="false">IFERROR(Rohdaten!C397*100/Rohdaten!K397,"–")</f>
        <v>–</v>
      </c>
      <c r="H397" s="8" t="str">
        <f aca="false">IFERROR(Rohdaten!C397*100/Rohdaten!L397,"–")</f>
        <v>–</v>
      </c>
      <c r="I397" s="9" t="str">
        <f aca="false">IFERROR(Rohdaten!C397*100/Rohdaten!M397,"–")</f>
        <v>–</v>
      </c>
      <c r="J397" s="8" t="str">
        <f aca="false">IFERROR(Rohdaten!C397*100/Rohdaten!N397,"–")</f>
        <v>–</v>
      </c>
      <c r="K397" s="9" t="str">
        <f aca="false">IFERROR(Rohdaten!C397*100/Rohdaten!O397,"–")</f>
        <v>–</v>
      </c>
      <c r="L397" s="8" t="n">
        <f aca="false">IFERROR(Rohdaten!C397*100/Rohdaten!P397,"–")</f>
        <v>280</v>
      </c>
      <c r="M397" s="8" t="n">
        <f aca="false">IFERROR(Rohdaten!C397*100/Rohdaten!Q397,"–")</f>
        <v>933.333333333333</v>
      </c>
      <c r="N397" s="8" t="n">
        <f aca="false">IFERROR(Rohdaten!C397*100/Rohdaten!R397,"–")</f>
        <v>70</v>
      </c>
      <c r="O397" s="8" t="n">
        <f aca="false">IFERROR(Rohdaten!C397*100/Rohdaten!S397,"–")</f>
        <v>400</v>
      </c>
      <c r="P397" s="9" t="n">
        <f aca="false">IFERROR(Rohdaten!C397*100/Rohdaten!T397,"–")</f>
        <v>0.35</v>
      </c>
      <c r="Q397" s="9" t="str">
        <f aca="false">IFERROR(Rohdaten!C397*100/Rohdaten!U397,"–")</f>
        <v>–</v>
      </c>
      <c r="R397" s="8" t="n">
        <f aca="false">IFERROR(Rohdaten!C397*100/Rohdaten!V397,"–")</f>
        <v>1.07692307692308</v>
      </c>
      <c r="S397" s="8" t="n">
        <f aca="false">IFERROR(Rohdaten!C397*100/Rohdaten!W397,"–")</f>
        <v>18.6666666666667</v>
      </c>
      <c r="T397" s="8" t="n">
        <f aca="false">IFERROR(Rohdaten!C397*100/Rohdaten!X397,"–")</f>
        <v>0.933333333333333</v>
      </c>
      <c r="U397" s="8" t="n">
        <f aca="false">IFERROR(Rohdaten!C397*100/Rohdaten!Y397,"–")</f>
        <v>56</v>
      </c>
      <c r="V397" s="8" t="n">
        <f aca="false">IFERROR(Rohdaten!C397*100/Rohdaten!Z397,"–")</f>
        <v>0.1</v>
      </c>
    </row>
    <row r="398" customFormat="false" ht="15" hidden="false" customHeight="true" outlineLevel="0" collapsed="false">
      <c r="A398" s="4" t="str">
        <f aca="false">Rohdaten!A398</f>
        <v>Kichererbsenmehl</v>
      </c>
      <c r="B398" s="8" t="n">
        <f aca="false">Rohdaten!C398</f>
        <v>1.3</v>
      </c>
      <c r="C398" s="8" t="n">
        <f aca="false">IFERROR(Rohdaten!C398*100/Rohdaten!G398,"–")</f>
        <v>0.335917312661499</v>
      </c>
      <c r="D398" s="8" t="n">
        <f aca="false">IFERROR(Rohdaten!C398*100/(Rohdaten!H398*9),"–")</f>
        <v>2.1558872305141</v>
      </c>
      <c r="E398" s="8" t="n">
        <f aca="false">IFERROR(Rohdaten!C398*100/(Rohdaten!I398*4),"–")</f>
        <v>1.47727272727273</v>
      </c>
      <c r="F398" s="8" t="n">
        <f aca="false">IFERROR(Rohdaten!C398*100/(Rohdaten!J398*4),"–")</f>
        <v>0.560344827586207</v>
      </c>
      <c r="G398" s="9" t="n">
        <f aca="false">IFERROR(Rohdaten!C398*100/Rohdaten!K398,"–")</f>
        <v>130</v>
      </c>
      <c r="H398" s="8" t="n">
        <f aca="false">IFERROR(Rohdaten!C398*100/Rohdaten!L398,"–")</f>
        <v>43.3333333333333</v>
      </c>
      <c r="I398" s="9" t="str">
        <f aca="false">IFERROR(Rohdaten!C398*100/Rohdaten!M398,"–")</f>
        <v>–</v>
      </c>
      <c r="J398" s="8" t="n">
        <f aca="false">IFERROR(Rohdaten!C398*100/Rohdaten!N398,"–")</f>
        <v>185.714285714286</v>
      </c>
      <c r="K398" s="9" t="str">
        <f aca="false">IFERROR(Rohdaten!C398*100/Rohdaten!O398,"–")</f>
        <v>–</v>
      </c>
      <c r="L398" s="8" t="n">
        <f aca="false">IFERROR(Rohdaten!C398*100/Rohdaten!P398,"–")</f>
        <v>270.833333333333</v>
      </c>
      <c r="M398" s="8" t="n">
        <f aca="false">IFERROR(Rohdaten!C398*100/Rohdaten!Q398,"–")</f>
        <v>619.047619047619</v>
      </c>
      <c r="N398" s="8" t="n">
        <f aca="false">IFERROR(Rohdaten!C398*100/Rohdaten!R398,"–")</f>
        <v>50</v>
      </c>
      <c r="O398" s="8" t="n">
        <f aca="false">IFERROR(Rohdaten!C398*100/Rohdaten!S398,"–")</f>
        <v>245.283018867925</v>
      </c>
      <c r="P398" s="9" t="n">
        <f aca="false">IFERROR(Rohdaten!C398*100/Rohdaten!T398,"–")</f>
        <v>0.297482837528604</v>
      </c>
      <c r="Q398" s="9" t="str">
        <f aca="false">IFERROR(Rohdaten!C398*100/Rohdaten!U398,"–")</f>
        <v>–</v>
      </c>
      <c r="R398" s="8" t="n">
        <f aca="false">IFERROR(Rohdaten!C398*100/Rohdaten!V398,"–")</f>
        <v>2.88888888888889</v>
      </c>
      <c r="S398" s="8" t="n">
        <f aca="false">IFERROR(Rohdaten!C398*100/Rohdaten!W398,"–")</f>
        <v>26.530612244898</v>
      </c>
      <c r="T398" s="8" t="n">
        <f aca="false">IFERROR(Rohdaten!C398*100/Rohdaten!X398,"–")</f>
        <v>0.783132530120482</v>
      </c>
      <c r="U398" s="8" t="n">
        <f aca="false">IFERROR(Rohdaten!C398*100/Rohdaten!Y398,"–")</f>
        <v>52</v>
      </c>
      <c r="V398" s="8" t="n">
        <f aca="false">IFERROR(Rohdaten!C398*100/Rohdaten!Z398,"–")</f>
        <v>0.153664302600473</v>
      </c>
    </row>
    <row r="399" customFormat="false" ht="15" hidden="false" customHeight="true" outlineLevel="0" collapsed="false">
      <c r="A399" s="4" t="str">
        <f aca="false">Rohdaten!A399</f>
        <v>Vollkornbrot</v>
      </c>
      <c r="B399" s="8" t="n">
        <f aca="false">Rohdaten!C399</f>
        <v>0.7</v>
      </c>
      <c r="C399" s="8" t="n">
        <f aca="false">IFERROR(Rohdaten!C399*100/Rohdaten!G399,"–")</f>
        <v>0.324074074074074</v>
      </c>
      <c r="D399" s="8" t="n">
        <f aca="false">IFERROR(Rohdaten!C399*100/(Rohdaten!H399*9),"–")</f>
        <v>5.18518518518519</v>
      </c>
      <c r="E399" s="8" t="n">
        <f aca="false">IFERROR(Rohdaten!C399*100/(Rohdaten!I399*4),"–")</f>
        <v>2.1875</v>
      </c>
      <c r="F399" s="8" t="n">
        <f aca="false">IFERROR(Rohdaten!C399*100/(Rohdaten!J399*4),"–")</f>
        <v>0.416666666666667</v>
      </c>
      <c r="G399" s="9" t="str">
        <f aca="false">IFERROR(Rohdaten!C399*100/Rohdaten!K399,"–")</f>
        <v>–</v>
      </c>
      <c r="H399" s="8" t="str">
        <f aca="false">IFERROR(Rohdaten!C399*100/Rohdaten!L399,"–")</f>
        <v>–</v>
      </c>
      <c r="I399" s="9" t="str">
        <f aca="false">IFERROR(Rohdaten!C399*100/Rohdaten!M399,"–")</f>
        <v>–</v>
      </c>
      <c r="J399" s="8" t="n">
        <f aca="false">IFERROR(Rohdaten!C399*100/Rohdaten!N399,"–")</f>
        <v>175</v>
      </c>
      <c r="K399" s="9" t="str">
        <f aca="false">IFERROR(Rohdaten!C399*100/Rohdaten!O399,"–")</f>
        <v>–</v>
      </c>
      <c r="L399" s="8" t="n">
        <f aca="false">IFERROR(Rohdaten!C399*100/Rohdaten!P399,"–")</f>
        <v>233.333333333333</v>
      </c>
      <c r="M399" s="8" t="n">
        <f aca="false">IFERROR(Rohdaten!C399*100/Rohdaten!Q399,"–")</f>
        <v>466.666666666667</v>
      </c>
      <c r="N399" s="8" t="n">
        <f aca="false">IFERROR(Rohdaten!C399*100/Rohdaten!R399,"–")</f>
        <v>23.3333333333333</v>
      </c>
      <c r="O399" s="8" t="n">
        <f aca="false">IFERROR(Rohdaten!C399*100/Rohdaten!S399,"–")</f>
        <v>350</v>
      </c>
      <c r="P399" s="9" t="n">
        <f aca="false">IFERROR(Rohdaten!C399*100/Rohdaten!T399,"–")</f>
        <v>1.75</v>
      </c>
      <c r="Q399" s="9" t="str">
        <f aca="false">IFERROR(Rohdaten!C399*100/Rohdaten!U399,"–")</f>
        <v>–</v>
      </c>
      <c r="R399" s="8" t="n">
        <f aca="false">IFERROR(Rohdaten!C399*100/Rohdaten!V399,"–")</f>
        <v>1.75</v>
      </c>
      <c r="S399" s="8" t="n">
        <f aca="false">IFERROR(Rohdaten!C399*100/Rohdaten!W399,"–")</f>
        <v>28</v>
      </c>
      <c r="T399" s="8" t="n">
        <f aca="false">IFERROR(Rohdaten!C399*100/Rohdaten!X399,"–")</f>
        <v>1.16666666666667</v>
      </c>
      <c r="U399" s="8" t="n">
        <f aca="false">IFERROR(Rohdaten!C399*100/Rohdaten!Y399,"–")</f>
        <v>46.6666666666667</v>
      </c>
      <c r="V399" s="8" t="n">
        <f aca="false">IFERROR(Rohdaten!C399*100/Rohdaten!Z399,"–")</f>
        <v>0.25</v>
      </c>
    </row>
    <row r="400" customFormat="false" ht="15" hidden="false" customHeight="true" outlineLevel="0" collapsed="false">
      <c r="A400" s="4" t="str">
        <f aca="false">Rohdaten!A400</f>
        <v>Roggenbrot</v>
      </c>
      <c r="B400" s="8" t="n">
        <f aca="false">Rohdaten!C400</f>
        <v>0.6</v>
      </c>
      <c r="C400" s="8" t="n">
        <f aca="false">IFERROR(Rohdaten!C400*100/Rohdaten!G400,"–")</f>
        <v>0.287081339712919</v>
      </c>
      <c r="D400" s="8" t="n">
        <f aca="false">IFERROR(Rohdaten!C400*100/(Rohdaten!H400*9),"–")</f>
        <v>6.66666666666667</v>
      </c>
      <c r="E400" s="8" t="n">
        <f aca="false">IFERROR(Rohdaten!C400*100/(Rohdaten!I400*4),"–")</f>
        <v>2.30769230769231</v>
      </c>
      <c r="F400" s="8" t="n">
        <f aca="false">IFERROR(Rohdaten!C400*100/(Rohdaten!J400*4),"–")</f>
        <v>0.340909090909091</v>
      </c>
      <c r="G400" s="9" t="str">
        <f aca="false">IFERROR(Rohdaten!C400*100/Rohdaten!K400,"–")</f>
        <v>–</v>
      </c>
      <c r="H400" s="8" t="str">
        <f aca="false">IFERROR(Rohdaten!C400*100/Rohdaten!L400,"–")</f>
        <v>–</v>
      </c>
      <c r="I400" s="9" t="str">
        <f aca="false">IFERROR(Rohdaten!C400*100/Rohdaten!M400,"–")</f>
        <v>–</v>
      </c>
      <c r="J400" s="8" t="n">
        <f aca="false">IFERROR(Rohdaten!C400*100/Rohdaten!N400,"–")</f>
        <v>200</v>
      </c>
      <c r="K400" s="9" t="str">
        <f aca="false">IFERROR(Rohdaten!C400*100/Rohdaten!O400,"–")</f>
        <v>–</v>
      </c>
      <c r="L400" s="8" t="n">
        <f aca="false">IFERROR(Rohdaten!C400*100/Rohdaten!P400,"–")</f>
        <v>300</v>
      </c>
      <c r="M400" s="8" t="n">
        <f aca="false">IFERROR(Rohdaten!C400*100/Rohdaten!Q400,"–")</f>
        <v>600</v>
      </c>
      <c r="N400" s="8" t="n">
        <f aca="false">IFERROR(Rohdaten!C400*100/Rohdaten!R400,"–")</f>
        <v>40</v>
      </c>
      <c r="O400" s="8" t="n">
        <f aca="false">IFERROR(Rohdaten!C400*100/Rohdaten!S400,"–")</f>
        <v>600</v>
      </c>
      <c r="P400" s="9" t="n">
        <f aca="false">IFERROR(Rohdaten!C400*100/Rohdaten!T400,"–")</f>
        <v>2</v>
      </c>
      <c r="Q400" s="9" t="str">
        <f aca="false">IFERROR(Rohdaten!C400*100/Rohdaten!U400,"–")</f>
        <v>–</v>
      </c>
      <c r="R400" s="8" t="n">
        <f aca="false">IFERROR(Rohdaten!C400*100/Rohdaten!V400,"–")</f>
        <v>2.4</v>
      </c>
      <c r="S400" s="8" t="n">
        <f aca="false">IFERROR(Rohdaten!C400*100/Rohdaten!W400,"–")</f>
        <v>30</v>
      </c>
      <c r="T400" s="8" t="n">
        <f aca="false">IFERROR(Rohdaten!C400*100/Rohdaten!X400,"–")</f>
        <v>1.5</v>
      </c>
      <c r="U400" s="8" t="n">
        <f aca="false">IFERROR(Rohdaten!C400*100/Rohdaten!Y400,"–")</f>
        <v>60</v>
      </c>
      <c r="V400" s="8" t="n">
        <f aca="false">IFERROR(Rohdaten!C400*100/Rohdaten!Z400,"–")</f>
        <v>0.333333333333333</v>
      </c>
    </row>
    <row r="401" customFormat="false" ht="15" hidden="false" customHeight="true" outlineLevel="0" collapsed="false">
      <c r="A401" s="4" t="str">
        <f aca="false">Rohdaten!A401</f>
        <v>Sauerteigbrot</v>
      </c>
      <c r="B401" s="8" t="n">
        <f aca="false">Rohdaten!C401</f>
        <v>0.7</v>
      </c>
      <c r="C401" s="8" t="n">
        <f aca="false">IFERROR(Rohdaten!C401*100/Rohdaten!G401,"–")</f>
        <v>0.321100917431193</v>
      </c>
      <c r="D401" s="8" t="n">
        <f aca="false">IFERROR(Rohdaten!C401*100/(Rohdaten!H401*9),"–")</f>
        <v>7.77777777777778</v>
      </c>
      <c r="E401" s="8" t="n">
        <f aca="false">IFERROR(Rohdaten!C401*100/(Rohdaten!I401*4),"–")</f>
        <v>2.33333333333333</v>
      </c>
      <c r="F401" s="8" t="n">
        <f aca="false">IFERROR(Rohdaten!C401*100/(Rohdaten!J401*4),"–")</f>
        <v>0.388888888888889</v>
      </c>
      <c r="G401" s="9" t="str">
        <f aca="false">IFERROR(Rohdaten!C401*100/Rohdaten!K401,"–")</f>
        <v>–</v>
      </c>
      <c r="H401" s="8" t="str">
        <f aca="false">IFERROR(Rohdaten!C401*100/Rohdaten!L401,"–")</f>
        <v>–</v>
      </c>
      <c r="I401" s="9" t="str">
        <f aca="false">IFERROR(Rohdaten!C401*100/Rohdaten!M401,"–")</f>
        <v>–</v>
      </c>
      <c r="J401" s="8" t="n">
        <f aca="false">IFERROR(Rohdaten!C401*100/Rohdaten!N401,"–")</f>
        <v>233.333333333333</v>
      </c>
      <c r="K401" s="9" t="str">
        <f aca="false">IFERROR(Rohdaten!C401*100/Rohdaten!O401,"–")</f>
        <v>–</v>
      </c>
      <c r="L401" s="8" t="n">
        <f aca="false">IFERROR(Rohdaten!C401*100/Rohdaten!P401,"–")</f>
        <v>388.888888888889</v>
      </c>
      <c r="M401" s="8" t="n">
        <f aca="false">IFERROR(Rohdaten!C401*100/Rohdaten!Q401,"–")</f>
        <v>700</v>
      </c>
      <c r="N401" s="8" t="n">
        <f aca="false">IFERROR(Rohdaten!C401*100/Rohdaten!R401,"–")</f>
        <v>38.8888888888889</v>
      </c>
      <c r="O401" s="8" t="n">
        <f aca="false">IFERROR(Rohdaten!C401*100/Rohdaten!S401,"–")</f>
        <v>700</v>
      </c>
      <c r="P401" s="9" t="n">
        <f aca="false">IFERROR(Rohdaten!C401*100/Rohdaten!T401,"–")</f>
        <v>2.8</v>
      </c>
      <c r="Q401" s="9" t="str">
        <f aca="false">IFERROR(Rohdaten!C401*100/Rohdaten!U401,"–")</f>
        <v>–</v>
      </c>
      <c r="R401" s="8" t="n">
        <f aca="false">IFERROR(Rohdaten!C401*100/Rohdaten!V401,"–")</f>
        <v>2.8</v>
      </c>
      <c r="S401" s="8" t="n">
        <f aca="false">IFERROR(Rohdaten!C401*100/Rohdaten!W401,"–")</f>
        <v>38.8888888888889</v>
      </c>
      <c r="T401" s="8" t="n">
        <f aca="false">IFERROR(Rohdaten!C401*100/Rohdaten!X401,"–")</f>
        <v>2</v>
      </c>
      <c r="U401" s="8" t="n">
        <f aca="false">IFERROR(Rohdaten!C401*100/Rohdaten!Y401,"–")</f>
        <v>77.7777777777778</v>
      </c>
      <c r="V401" s="8" t="n">
        <f aca="false">IFERROR(Rohdaten!C401*100/Rohdaten!Z401,"–")</f>
        <v>0.466666666666667</v>
      </c>
    </row>
    <row r="402" customFormat="false" ht="15" hidden="false" customHeight="true" outlineLevel="0" collapsed="false">
      <c r="A402" s="4" t="str">
        <f aca="false">Rohdaten!A402</f>
        <v>Toastbrot</v>
      </c>
      <c r="B402" s="8" t="n">
        <f aca="false">Rohdaten!C402</f>
        <v>0.9</v>
      </c>
      <c r="C402" s="8" t="n">
        <f aca="false">IFERROR(Rohdaten!C402*100/Rohdaten!G402,"–")</f>
        <v>0.339622641509434</v>
      </c>
      <c r="D402" s="8" t="n">
        <f aca="false">IFERROR(Rohdaten!C402*100/(Rohdaten!H402*9),"–")</f>
        <v>2.85714285714286</v>
      </c>
      <c r="E402" s="8" t="n">
        <f aca="false">IFERROR(Rohdaten!C402*100/(Rohdaten!I402*4),"–")</f>
        <v>2.64705882352941</v>
      </c>
      <c r="F402" s="8" t="n">
        <f aca="false">IFERROR(Rohdaten!C402*100/(Rohdaten!J402*4),"–")</f>
        <v>0.459183673469388</v>
      </c>
      <c r="G402" s="9" t="str">
        <f aca="false">IFERROR(Rohdaten!C402*100/Rohdaten!K402,"–")</f>
        <v>–</v>
      </c>
      <c r="H402" s="8" t="str">
        <f aca="false">IFERROR(Rohdaten!C402*100/Rohdaten!L402,"–")</f>
        <v>–</v>
      </c>
      <c r="I402" s="9" t="str">
        <f aca="false">IFERROR(Rohdaten!C402*100/Rohdaten!M402,"–")</f>
        <v>–</v>
      </c>
      <c r="J402" s="8" t="n">
        <f aca="false">IFERROR(Rohdaten!C402*100/Rohdaten!N402,"–")</f>
        <v>180</v>
      </c>
      <c r="K402" s="9" t="str">
        <f aca="false">IFERROR(Rohdaten!C402*100/Rohdaten!O402,"–")</f>
        <v>–</v>
      </c>
      <c r="L402" s="8" t="n">
        <f aca="false">IFERROR(Rohdaten!C402*100/Rohdaten!P402,"–")</f>
        <v>450</v>
      </c>
      <c r="M402" s="8" t="n">
        <f aca="false">IFERROR(Rohdaten!C402*100/Rohdaten!Q402,"–")</f>
        <v>600</v>
      </c>
      <c r="N402" s="8" t="n">
        <f aca="false">IFERROR(Rohdaten!C402*100/Rohdaten!R402,"–")</f>
        <v>36</v>
      </c>
      <c r="O402" s="8" t="n">
        <f aca="false">IFERROR(Rohdaten!C402*100/Rohdaten!S402,"–")</f>
        <v>1125</v>
      </c>
      <c r="P402" s="9" t="n">
        <f aca="false">IFERROR(Rohdaten!C402*100/Rohdaten!T402,"–")</f>
        <v>3</v>
      </c>
      <c r="Q402" s="9" t="str">
        <f aca="false">IFERROR(Rohdaten!C402*100/Rohdaten!U402,"–")</f>
        <v>–</v>
      </c>
      <c r="R402" s="8" t="n">
        <f aca="false">IFERROR(Rohdaten!C402*100/Rohdaten!V402,"–")</f>
        <v>0.9</v>
      </c>
      <c r="S402" s="8" t="n">
        <f aca="false">IFERROR(Rohdaten!C402*100/Rohdaten!W402,"–")</f>
        <v>45</v>
      </c>
      <c r="T402" s="8" t="n">
        <f aca="false">IFERROR(Rohdaten!C402*100/Rohdaten!X402,"–")</f>
        <v>4.5</v>
      </c>
      <c r="U402" s="8" t="n">
        <f aca="false">IFERROR(Rohdaten!C402*100/Rohdaten!Y402,"–")</f>
        <v>128.571428571429</v>
      </c>
      <c r="V402" s="8" t="n">
        <f aca="false">IFERROR(Rohdaten!C402*100/Rohdaten!Z402,"–")</f>
        <v>0.75</v>
      </c>
    </row>
    <row r="403" customFormat="false" ht="15" hidden="false" customHeight="true" outlineLevel="0" collapsed="false">
      <c r="A403" s="4" t="str">
        <f aca="false">Rohdaten!A403</f>
        <v>Baguette</v>
      </c>
      <c r="B403" s="8" t="n">
        <f aca="false">Rohdaten!C403</f>
        <v>0.8</v>
      </c>
      <c r="C403" s="8" t="n">
        <f aca="false">IFERROR(Rohdaten!C403*100/Rohdaten!G403,"–")</f>
        <v>0.296296296296296</v>
      </c>
      <c r="D403" s="8" t="n">
        <f aca="false">IFERROR(Rohdaten!C403*100/(Rohdaten!H403*9),"–")</f>
        <v>5.92592592592593</v>
      </c>
      <c r="E403" s="8" t="n">
        <f aca="false">IFERROR(Rohdaten!C403*100/(Rohdaten!I403*4),"–")</f>
        <v>2.22222222222222</v>
      </c>
      <c r="F403" s="8" t="n">
        <f aca="false">IFERROR(Rohdaten!C403*100/(Rohdaten!J403*4),"–")</f>
        <v>0.363636363636364</v>
      </c>
      <c r="G403" s="9" t="str">
        <f aca="false">IFERROR(Rohdaten!C403*100/Rohdaten!K403,"–")</f>
        <v>–</v>
      </c>
      <c r="H403" s="8" t="str">
        <f aca="false">IFERROR(Rohdaten!C403*100/Rohdaten!L403,"–")</f>
        <v>–</v>
      </c>
      <c r="I403" s="9" t="str">
        <f aca="false">IFERROR(Rohdaten!C403*100/Rohdaten!M403,"–")</f>
        <v>–</v>
      </c>
      <c r="J403" s="8" t="n">
        <f aca="false">IFERROR(Rohdaten!C403*100/Rohdaten!N403,"–")</f>
        <v>266.666666666667</v>
      </c>
      <c r="K403" s="9" t="str">
        <f aca="false">IFERROR(Rohdaten!C403*100/Rohdaten!O403,"–")</f>
        <v>–</v>
      </c>
      <c r="L403" s="8" t="n">
        <f aca="false">IFERROR(Rohdaten!C403*100/Rohdaten!P403,"–")</f>
        <v>400</v>
      </c>
      <c r="M403" s="8" t="n">
        <f aca="false">IFERROR(Rohdaten!C403*100/Rohdaten!Q403,"–")</f>
        <v>666.666666666667</v>
      </c>
      <c r="N403" s="8" t="n">
        <f aca="false">IFERROR(Rohdaten!C403*100/Rohdaten!R403,"–")</f>
        <v>32</v>
      </c>
      <c r="O403" s="8" t="n">
        <f aca="false">IFERROR(Rohdaten!C403*100/Rohdaten!S403,"–")</f>
        <v>1333.33333333333</v>
      </c>
      <c r="P403" s="9" t="n">
        <f aca="false">IFERROR(Rohdaten!C403*100/Rohdaten!T403,"–")</f>
        <v>4</v>
      </c>
      <c r="Q403" s="9" t="str">
        <f aca="false">IFERROR(Rohdaten!C403*100/Rohdaten!U403,"–")</f>
        <v>–</v>
      </c>
      <c r="R403" s="8" t="n">
        <f aca="false">IFERROR(Rohdaten!C403*100/Rohdaten!V403,"–")</f>
        <v>4</v>
      </c>
      <c r="S403" s="8" t="n">
        <f aca="false">IFERROR(Rohdaten!C403*100/Rohdaten!W403,"–")</f>
        <v>53.3333333333333</v>
      </c>
      <c r="T403" s="8" t="n">
        <f aca="false">IFERROR(Rohdaten!C403*100/Rohdaten!X403,"–")</f>
        <v>4</v>
      </c>
      <c r="U403" s="8" t="n">
        <f aca="false">IFERROR(Rohdaten!C403*100/Rohdaten!Y403,"–")</f>
        <v>133.333333333333</v>
      </c>
      <c r="V403" s="8" t="n">
        <f aca="false">IFERROR(Rohdaten!C403*100/Rohdaten!Z403,"–")</f>
        <v>0.727272727272727</v>
      </c>
    </row>
    <row r="404" customFormat="false" ht="15" hidden="false" customHeight="true" outlineLevel="0" collapsed="false">
      <c r="A404" s="4" t="str">
        <f aca="false">Rohdaten!A404</f>
        <v>Ciabatta</v>
      </c>
      <c r="B404" s="8" t="n">
        <f aca="false">Rohdaten!C404</f>
        <v>0.8</v>
      </c>
      <c r="C404" s="8" t="n">
        <f aca="false">IFERROR(Rohdaten!C404*100/Rohdaten!G404,"–")</f>
        <v>0.29520295202952</v>
      </c>
      <c r="D404" s="8" t="n">
        <f aca="false">IFERROR(Rohdaten!C404*100/(Rohdaten!H404*9),"–")</f>
        <v>2.53968253968254</v>
      </c>
      <c r="E404" s="8" t="n">
        <f aca="false">IFERROR(Rohdaten!C404*100/(Rohdaten!I404*4),"–")</f>
        <v>2.22222222222222</v>
      </c>
      <c r="F404" s="8" t="n">
        <f aca="false">IFERROR(Rohdaten!C404*100/(Rohdaten!J404*4),"–")</f>
        <v>0.384615384615385</v>
      </c>
      <c r="G404" s="9" t="str">
        <f aca="false">IFERROR(Rohdaten!C404*100/Rohdaten!K404,"–")</f>
        <v>–</v>
      </c>
      <c r="H404" s="8" t="str">
        <f aca="false">IFERROR(Rohdaten!C404*100/Rohdaten!L404,"–")</f>
        <v>–</v>
      </c>
      <c r="I404" s="9" t="str">
        <f aca="false">IFERROR(Rohdaten!C404*100/Rohdaten!M404,"–")</f>
        <v>–</v>
      </c>
      <c r="J404" s="8" t="n">
        <f aca="false">IFERROR(Rohdaten!C404*100/Rohdaten!N404,"–")</f>
        <v>200</v>
      </c>
      <c r="K404" s="9" t="str">
        <f aca="false">IFERROR(Rohdaten!C404*100/Rohdaten!O404,"–")</f>
        <v>–</v>
      </c>
      <c r="L404" s="8" t="n">
        <f aca="false">IFERROR(Rohdaten!C404*100/Rohdaten!P404,"–")</f>
        <v>400</v>
      </c>
      <c r="M404" s="8" t="n">
        <f aca="false">IFERROR(Rohdaten!C404*100/Rohdaten!Q404,"–")</f>
        <v>666.666666666667</v>
      </c>
      <c r="N404" s="8" t="n">
        <f aca="false">IFERROR(Rohdaten!C404*100/Rohdaten!R404,"–")</f>
        <v>32</v>
      </c>
      <c r="O404" s="8" t="n">
        <f aca="false">IFERROR(Rohdaten!C404*100/Rohdaten!S404,"–")</f>
        <v>1333.33333333333</v>
      </c>
      <c r="P404" s="9" t="n">
        <f aca="false">IFERROR(Rohdaten!C404*100/Rohdaten!T404,"–")</f>
        <v>4</v>
      </c>
      <c r="Q404" s="9" t="str">
        <f aca="false">IFERROR(Rohdaten!C404*100/Rohdaten!U404,"–")</f>
        <v>–</v>
      </c>
      <c r="R404" s="8" t="n">
        <f aca="false">IFERROR(Rohdaten!C404*100/Rohdaten!V404,"–")</f>
        <v>4</v>
      </c>
      <c r="S404" s="8" t="n">
        <f aca="false">IFERROR(Rohdaten!C404*100/Rohdaten!W404,"–")</f>
        <v>53.3333333333333</v>
      </c>
      <c r="T404" s="8" t="n">
        <f aca="false">IFERROR(Rohdaten!C404*100/Rohdaten!X404,"–")</f>
        <v>4</v>
      </c>
      <c r="U404" s="8" t="n">
        <f aca="false">IFERROR(Rohdaten!C404*100/Rohdaten!Y404,"–")</f>
        <v>133.333333333333</v>
      </c>
      <c r="V404" s="8" t="n">
        <f aca="false">IFERROR(Rohdaten!C404*100/Rohdaten!Z404,"–")</f>
        <v>0.727272727272727</v>
      </c>
    </row>
    <row r="405" customFormat="false" ht="15" hidden="false" customHeight="true" outlineLevel="0" collapsed="false">
      <c r="A405" s="4" t="str">
        <f aca="false">Rohdaten!A405</f>
        <v>Fladenbrot/Naan</v>
      </c>
      <c r="B405" s="8" t="n">
        <f aca="false">Rohdaten!C405</f>
        <v>0.8</v>
      </c>
      <c r="C405" s="8" t="n">
        <f aca="false">IFERROR(Rohdaten!C405*100/Rohdaten!G405,"–")</f>
        <v>0.258064516129032</v>
      </c>
      <c r="D405" s="8" t="n">
        <f aca="false">IFERROR(Rohdaten!C405*100/(Rohdaten!H405*9),"–")</f>
        <v>1.77777777777778</v>
      </c>
      <c r="E405" s="8" t="n">
        <f aca="false">IFERROR(Rohdaten!C405*100/(Rohdaten!I405*4),"–")</f>
        <v>2.10526315789474</v>
      </c>
      <c r="F405" s="8" t="n">
        <f aca="false">IFERROR(Rohdaten!C405*100/(Rohdaten!J405*4),"–")</f>
        <v>0.363636363636364</v>
      </c>
      <c r="G405" s="9" t="str">
        <f aca="false">IFERROR(Rohdaten!C405*100/Rohdaten!K405,"–")</f>
        <v>–</v>
      </c>
      <c r="H405" s="8" t="str">
        <f aca="false">IFERROR(Rohdaten!C405*100/Rohdaten!L405,"–")</f>
        <v>–</v>
      </c>
      <c r="I405" s="9" t="str">
        <f aca="false">IFERROR(Rohdaten!C405*100/Rohdaten!M405,"–")</f>
        <v>–</v>
      </c>
      <c r="J405" s="8" t="n">
        <f aca="false">IFERROR(Rohdaten!C405*100/Rohdaten!N405,"–")</f>
        <v>200</v>
      </c>
      <c r="K405" s="9" t="str">
        <f aca="false">IFERROR(Rohdaten!C405*100/Rohdaten!O405,"–")</f>
        <v>–</v>
      </c>
      <c r="L405" s="8" t="n">
        <f aca="false">IFERROR(Rohdaten!C405*100/Rohdaten!P405,"–")</f>
        <v>320</v>
      </c>
      <c r="M405" s="8" t="n">
        <f aca="false">IFERROR(Rohdaten!C405*100/Rohdaten!Q405,"–")</f>
        <v>533.333333333333</v>
      </c>
      <c r="N405" s="8" t="n">
        <f aca="false">IFERROR(Rohdaten!C405*100/Rohdaten!R405,"–")</f>
        <v>26.6666666666667</v>
      </c>
      <c r="O405" s="8" t="n">
        <f aca="false">IFERROR(Rohdaten!C405*100/Rohdaten!S405,"–")</f>
        <v>1000</v>
      </c>
      <c r="P405" s="9" t="n">
        <f aca="false">IFERROR(Rohdaten!C405*100/Rohdaten!T405,"–")</f>
        <v>3.2</v>
      </c>
      <c r="Q405" s="9" t="str">
        <f aca="false">IFERROR(Rohdaten!C405*100/Rohdaten!U405,"–")</f>
        <v>–</v>
      </c>
      <c r="R405" s="8" t="n">
        <f aca="false">IFERROR(Rohdaten!C405*100/Rohdaten!V405,"–")</f>
        <v>2</v>
      </c>
      <c r="S405" s="8" t="n">
        <f aca="false">IFERROR(Rohdaten!C405*100/Rohdaten!W405,"–")</f>
        <v>32</v>
      </c>
      <c r="T405" s="8" t="n">
        <f aca="false">IFERROR(Rohdaten!C405*100/Rohdaten!X405,"–")</f>
        <v>3.2</v>
      </c>
      <c r="U405" s="8" t="n">
        <f aca="false">IFERROR(Rohdaten!C405*100/Rohdaten!Y405,"–")</f>
        <v>114.285714285714</v>
      </c>
      <c r="V405" s="8" t="n">
        <f aca="false">IFERROR(Rohdaten!C405*100/Rohdaten!Z405,"–")</f>
        <v>0.533333333333333</v>
      </c>
    </row>
    <row r="406" customFormat="false" ht="15" hidden="false" customHeight="true" outlineLevel="0" collapsed="false">
      <c r="A406" s="4" t="str">
        <f aca="false">Rohdaten!A406</f>
        <v>Pita</v>
      </c>
      <c r="B406" s="8" t="n">
        <f aca="false">Rohdaten!C406</f>
        <v>0.7</v>
      </c>
      <c r="C406" s="8" t="n">
        <f aca="false">IFERROR(Rohdaten!C406*100/Rohdaten!G406,"–")</f>
        <v>0.254545454545455</v>
      </c>
      <c r="D406" s="8" t="n">
        <f aca="false">IFERROR(Rohdaten!C406*100/(Rohdaten!H406*9),"–")</f>
        <v>6.48148148148148</v>
      </c>
      <c r="E406" s="8" t="n">
        <f aca="false">IFERROR(Rohdaten!C406*100/(Rohdaten!I406*4),"–")</f>
        <v>1.94444444444444</v>
      </c>
      <c r="F406" s="8" t="n">
        <f aca="false">IFERROR(Rohdaten!C406*100/(Rohdaten!J406*4),"–")</f>
        <v>0.3125</v>
      </c>
      <c r="G406" s="9" t="str">
        <f aca="false">IFERROR(Rohdaten!C406*100/Rohdaten!K406,"–")</f>
        <v>–</v>
      </c>
      <c r="H406" s="8" t="str">
        <f aca="false">IFERROR(Rohdaten!C406*100/Rohdaten!L406,"–")</f>
        <v>–</v>
      </c>
      <c r="I406" s="9" t="str">
        <f aca="false">IFERROR(Rohdaten!C406*100/Rohdaten!M406,"–")</f>
        <v>–</v>
      </c>
      <c r="J406" s="8" t="n">
        <f aca="false">IFERROR(Rohdaten!C406*100/Rohdaten!N406,"–")</f>
        <v>233.333333333333</v>
      </c>
      <c r="K406" s="9" t="str">
        <f aca="false">IFERROR(Rohdaten!C406*100/Rohdaten!O406,"–")</f>
        <v>–</v>
      </c>
      <c r="L406" s="8" t="n">
        <f aca="false">IFERROR(Rohdaten!C406*100/Rohdaten!P406,"–")</f>
        <v>280</v>
      </c>
      <c r="M406" s="8" t="n">
        <f aca="false">IFERROR(Rohdaten!C406*100/Rohdaten!Q406,"–")</f>
        <v>538.461538461539</v>
      </c>
      <c r="N406" s="8" t="n">
        <f aca="false">IFERROR(Rohdaten!C406*100/Rohdaten!R406,"–")</f>
        <v>23.3333333333333</v>
      </c>
      <c r="O406" s="8" t="n">
        <f aca="false">IFERROR(Rohdaten!C406*100/Rohdaten!S406,"–")</f>
        <v>1000</v>
      </c>
      <c r="P406" s="9" t="n">
        <f aca="false">IFERROR(Rohdaten!C406*100/Rohdaten!T406,"–")</f>
        <v>2.8</v>
      </c>
      <c r="Q406" s="9" t="str">
        <f aca="false">IFERROR(Rohdaten!C406*100/Rohdaten!U406,"–")</f>
        <v>–</v>
      </c>
      <c r="R406" s="8" t="n">
        <f aca="false">IFERROR(Rohdaten!C406*100/Rohdaten!V406,"–")</f>
        <v>2.33333333333333</v>
      </c>
      <c r="S406" s="8" t="n">
        <f aca="false">IFERROR(Rohdaten!C406*100/Rohdaten!W406,"–")</f>
        <v>35</v>
      </c>
      <c r="T406" s="8" t="n">
        <f aca="false">IFERROR(Rohdaten!C406*100/Rohdaten!X406,"–")</f>
        <v>2.8</v>
      </c>
      <c r="U406" s="8" t="n">
        <f aca="false">IFERROR(Rohdaten!C406*100/Rohdaten!Y406,"–")</f>
        <v>100</v>
      </c>
      <c r="V406" s="8" t="n">
        <f aca="false">IFERROR(Rohdaten!C406*100/Rohdaten!Z406,"–")</f>
        <v>0.583333333333333</v>
      </c>
    </row>
    <row r="407" customFormat="false" ht="15" hidden="false" customHeight="true" outlineLevel="0" collapsed="false">
      <c r="A407" s="4" t="str">
        <f aca="false">Rohdaten!A407</f>
        <v>Brezel</v>
      </c>
      <c r="B407" s="8" t="n">
        <f aca="false">Rohdaten!C407</f>
        <v>0.9</v>
      </c>
      <c r="C407" s="8" t="n">
        <f aca="false">IFERROR(Rohdaten!C407*100/Rohdaten!G407,"–")</f>
        <v>0.264705882352941</v>
      </c>
      <c r="D407" s="8" t="n">
        <f aca="false">IFERROR(Rohdaten!C407*100/(Rohdaten!H407*9),"–")</f>
        <v>2.22222222222222</v>
      </c>
      <c r="E407" s="8" t="n">
        <f aca="false">IFERROR(Rohdaten!C407*100/(Rohdaten!I407*4),"–")</f>
        <v>2.36842105263158</v>
      </c>
      <c r="F407" s="8" t="n">
        <f aca="false">IFERROR(Rohdaten!C407*100/(Rohdaten!J407*4),"–")</f>
        <v>0.3515625</v>
      </c>
      <c r="G407" s="9" t="str">
        <f aca="false">IFERROR(Rohdaten!C407*100/Rohdaten!K407,"–")</f>
        <v>–</v>
      </c>
      <c r="H407" s="8" t="str">
        <f aca="false">IFERROR(Rohdaten!C407*100/Rohdaten!L407,"–")</f>
        <v>–</v>
      </c>
      <c r="I407" s="9" t="str">
        <f aca="false">IFERROR(Rohdaten!C407*100/Rohdaten!M407,"–")</f>
        <v>–</v>
      </c>
      <c r="J407" s="8" t="n">
        <f aca="false">IFERROR(Rohdaten!C407*100/Rohdaten!N407,"–")</f>
        <v>180</v>
      </c>
      <c r="K407" s="9" t="str">
        <f aca="false">IFERROR(Rohdaten!C407*100/Rohdaten!O407,"–")</f>
        <v>–</v>
      </c>
      <c r="L407" s="8" t="n">
        <f aca="false">IFERROR(Rohdaten!C407*100/Rohdaten!P407,"–")</f>
        <v>450</v>
      </c>
      <c r="M407" s="8" t="n">
        <f aca="false">IFERROR(Rohdaten!C407*100/Rohdaten!Q407,"–")</f>
        <v>600</v>
      </c>
      <c r="N407" s="8" t="n">
        <f aca="false">IFERROR(Rohdaten!C407*100/Rohdaten!R407,"–")</f>
        <v>36</v>
      </c>
      <c r="O407" s="8" t="n">
        <f aca="false">IFERROR(Rohdaten!C407*100/Rohdaten!S407,"–")</f>
        <v>1125</v>
      </c>
      <c r="P407" s="9" t="n">
        <f aca="false">IFERROR(Rohdaten!C407*100/Rohdaten!T407,"–")</f>
        <v>3.6</v>
      </c>
      <c r="Q407" s="9" t="str">
        <f aca="false">IFERROR(Rohdaten!C407*100/Rohdaten!U407,"–")</f>
        <v>–</v>
      </c>
      <c r="R407" s="8" t="n">
        <f aca="false">IFERROR(Rohdaten!C407*100/Rohdaten!V407,"–")</f>
        <v>4.5</v>
      </c>
      <c r="S407" s="8" t="n">
        <f aca="false">IFERROR(Rohdaten!C407*100/Rohdaten!W407,"–")</f>
        <v>50</v>
      </c>
      <c r="T407" s="8" t="n">
        <f aca="false">IFERROR(Rohdaten!C407*100/Rohdaten!X407,"–")</f>
        <v>4.5</v>
      </c>
      <c r="U407" s="8" t="n">
        <f aca="false">IFERROR(Rohdaten!C407*100/Rohdaten!Y407,"–")</f>
        <v>128.571428571429</v>
      </c>
      <c r="V407" s="8" t="n">
        <f aca="false">IFERROR(Rohdaten!C407*100/Rohdaten!Z407,"–")</f>
        <v>0.818181818181818</v>
      </c>
    </row>
    <row r="408" customFormat="false" ht="15" hidden="false" customHeight="true" outlineLevel="0" collapsed="false">
      <c r="A408" s="4" t="str">
        <f aca="false">Rohdaten!A408</f>
        <v>Blätterteig</v>
      </c>
      <c r="B408" s="8" t="n">
        <f aca="false">Rohdaten!C408</f>
        <v>1.6</v>
      </c>
      <c r="C408" s="8" t="n">
        <f aca="false">IFERROR(Rohdaten!C408*100/Rohdaten!G408,"–")</f>
        <v>0.4</v>
      </c>
      <c r="D408" s="8" t="n">
        <f aca="false">IFERROR(Rohdaten!C408*100/(Rohdaten!H408*9),"–")</f>
        <v>0.683760683760684</v>
      </c>
      <c r="E408" s="8" t="n">
        <f aca="false">IFERROR(Rohdaten!C408*100/(Rohdaten!I408*4),"–")</f>
        <v>6.66666666666667</v>
      </c>
      <c r="F408" s="8" t="n">
        <f aca="false">IFERROR(Rohdaten!C408*100/(Rohdaten!J408*4),"–")</f>
        <v>1.08108108108108</v>
      </c>
      <c r="G408" s="9" t="n">
        <f aca="false">IFERROR(Rohdaten!C408*100/Rohdaten!K408,"–")</f>
        <v>0.32</v>
      </c>
      <c r="H408" s="8" t="str">
        <f aca="false">IFERROR(Rohdaten!C408*100/Rohdaten!L408,"–")</f>
        <v>–</v>
      </c>
      <c r="I408" s="9" t="str">
        <f aca="false">IFERROR(Rohdaten!C408*100/Rohdaten!M408,"–")</f>
        <v>–</v>
      </c>
      <c r="J408" s="8" t="n">
        <f aca="false">IFERROR(Rohdaten!C408*100/Rohdaten!N408,"–")</f>
        <v>53.3333333333333</v>
      </c>
      <c r="K408" s="9" t="n">
        <f aca="false">IFERROR(Rohdaten!C408*100/Rohdaten!O408,"–")</f>
        <v>2.66666666666667</v>
      </c>
      <c r="L408" s="8" t="n">
        <f aca="false">IFERROR(Rohdaten!C408*100/Rohdaten!P408,"–")</f>
        <v>1066.66666666667</v>
      </c>
      <c r="M408" s="8" t="n">
        <f aca="false">IFERROR(Rohdaten!C408*100/Rohdaten!Q408,"–")</f>
        <v>1600</v>
      </c>
      <c r="N408" s="8" t="n">
        <f aca="false">IFERROR(Rohdaten!C408*100/Rohdaten!R408,"–")</f>
        <v>80</v>
      </c>
      <c r="O408" s="8" t="n">
        <f aca="false">IFERROR(Rohdaten!C408*100/Rohdaten!S408,"–")</f>
        <v>3200</v>
      </c>
      <c r="P408" s="9" t="n">
        <f aca="false">IFERROR(Rohdaten!C408*100/Rohdaten!T408,"–")</f>
        <v>8</v>
      </c>
      <c r="Q408" s="9" t="str">
        <f aca="false">IFERROR(Rohdaten!C408*100/Rohdaten!U408,"–")</f>
        <v>–</v>
      </c>
      <c r="R408" s="8" t="n">
        <f aca="false">IFERROR(Rohdaten!C408*100/Rohdaten!V408,"–")</f>
        <v>10.6666666666667</v>
      </c>
      <c r="S408" s="8" t="n">
        <f aca="false">IFERROR(Rohdaten!C408*100/Rohdaten!W408,"–")</f>
        <v>106.666666666667</v>
      </c>
      <c r="T408" s="8" t="n">
        <f aca="false">IFERROR(Rohdaten!C408*100/Rohdaten!X408,"–")</f>
        <v>10.6666666666667</v>
      </c>
      <c r="U408" s="8" t="n">
        <f aca="false">IFERROR(Rohdaten!C408*100/Rohdaten!Y408,"–")</f>
        <v>320</v>
      </c>
      <c r="V408" s="8" t="n">
        <f aca="false">IFERROR(Rohdaten!C408*100/Rohdaten!Z408,"–")</f>
        <v>2</v>
      </c>
    </row>
    <row r="409" customFormat="false" ht="15" hidden="false" customHeight="true" outlineLevel="0" collapsed="false">
      <c r="A409" s="4" t="str">
        <f aca="false">Rohdaten!A409</f>
        <v>Pizzateig</v>
      </c>
      <c r="B409" s="8" t="n">
        <f aca="false">Rohdaten!C409</f>
        <v>0.8</v>
      </c>
      <c r="C409" s="8" t="n">
        <f aca="false">IFERROR(Rohdaten!C409*100/Rohdaten!G409,"–")</f>
        <v>0.299625468164794</v>
      </c>
      <c r="D409" s="8" t="n">
        <f aca="false">IFERROR(Rohdaten!C409*100/(Rohdaten!H409*9),"–")</f>
        <v>2.22222222222222</v>
      </c>
      <c r="E409" s="8" t="n">
        <f aca="false">IFERROR(Rohdaten!C409*100/(Rohdaten!I409*4),"–")</f>
        <v>2.22222222222222</v>
      </c>
      <c r="F409" s="8" t="n">
        <f aca="false">IFERROR(Rohdaten!C409*100/(Rohdaten!J409*4),"–")</f>
        <v>0.4</v>
      </c>
      <c r="G409" s="9" t="str">
        <f aca="false">IFERROR(Rohdaten!C409*100/Rohdaten!K409,"–")</f>
        <v>–</v>
      </c>
      <c r="H409" s="8" t="str">
        <f aca="false">IFERROR(Rohdaten!C409*100/Rohdaten!L409,"–")</f>
        <v>–</v>
      </c>
      <c r="I409" s="9" t="str">
        <f aca="false">IFERROR(Rohdaten!C409*100/Rohdaten!M409,"–")</f>
        <v>–</v>
      </c>
      <c r="J409" s="8" t="n">
        <f aca="false">IFERROR(Rohdaten!C409*100/Rohdaten!N409,"–")</f>
        <v>266.666666666667</v>
      </c>
      <c r="K409" s="9" t="str">
        <f aca="false">IFERROR(Rohdaten!C409*100/Rohdaten!O409,"–")</f>
        <v>–</v>
      </c>
      <c r="L409" s="8" t="n">
        <f aca="false">IFERROR(Rohdaten!C409*100/Rohdaten!P409,"–")</f>
        <v>400</v>
      </c>
      <c r="M409" s="8" t="n">
        <f aca="false">IFERROR(Rohdaten!C409*100/Rohdaten!Q409,"–")</f>
        <v>666.666666666667</v>
      </c>
      <c r="N409" s="8" t="n">
        <f aca="false">IFERROR(Rohdaten!C409*100/Rohdaten!R409,"–")</f>
        <v>32</v>
      </c>
      <c r="O409" s="8" t="n">
        <f aca="false">IFERROR(Rohdaten!C409*100/Rohdaten!S409,"–")</f>
        <v>1333.33333333333</v>
      </c>
      <c r="P409" s="9" t="n">
        <f aca="false">IFERROR(Rohdaten!C409*100/Rohdaten!T409,"–")</f>
        <v>4</v>
      </c>
      <c r="Q409" s="9" t="str">
        <f aca="false">IFERROR(Rohdaten!C409*100/Rohdaten!U409,"–")</f>
        <v>–</v>
      </c>
      <c r="R409" s="8" t="n">
        <f aca="false">IFERROR(Rohdaten!C409*100/Rohdaten!V409,"–")</f>
        <v>4</v>
      </c>
      <c r="S409" s="8" t="n">
        <f aca="false">IFERROR(Rohdaten!C409*100/Rohdaten!W409,"–")</f>
        <v>53.3333333333333</v>
      </c>
      <c r="T409" s="8" t="n">
        <f aca="false">IFERROR(Rohdaten!C409*100/Rohdaten!X409,"–")</f>
        <v>4</v>
      </c>
      <c r="U409" s="8" t="n">
        <f aca="false">IFERROR(Rohdaten!C409*100/Rohdaten!Y409,"–")</f>
        <v>133.333333333333</v>
      </c>
      <c r="V409" s="8" t="n">
        <f aca="false">IFERROR(Rohdaten!C409*100/Rohdaten!Z409,"–")</f>
        <v>0.727272727272727</v>
      </c>
    </row>
    <row r="410" customFormat="false" ht="15" hidden="false" customHeight="true" outlineLevel="0" collapsed="false">
      <c r="A410" s="4" t="str">
        <f aca="false">Rohdaten!A410</f>
        <v>Tortilla-Wrap (Weizen)</v>
      </c>
      <c r="B410" s="8" t="n">
        <f aca="false">Rohdaten!C410</f>
        <v>0.9</v>
      </c>
      <c r="C410" s="8" t="n">
        <f aca="false">IFERROR(Rohdaten!C410*100/Rohdaten!G410,"–")</f>
        <v>0.290322580645161</v>
      </c>
      <c r="D410" s="8" t="n">
        <f aca="false">IFERROR(Rohdaten!C410*100/(Rohdaten!H410*9),"–")</f>
        <v>1.42857142857143</v>
      </c>
      <c r="E410" s="8" t="n">
        <f aca="false">IFERROR(Rohdaten!C410*100/(Rohdaten!I410*4),"–")</f>
        <v>2.64705882352941</v>
      </c>
      <c r="F410" s="8" t="n">
        <f aca="false">IFERROR(Rohdaten!C410*100/(Rohdaten!J410*4),"–")</f>
        <v>0.441176470588235</v>
      </c>
      <c r="G410" s="9" t="str">
        <f aca="false">IFERROR(Rohdaten!C410*100/Rohdaten!K410,"–")</f>
        <v>–</v>
      </c>
      <c r="H410" s="8" t="str">
        <f aca="false">IFERROR(Rohdaten!C410*100/Rohdaten!L410,"–")</f>
        <v>–</v>
      </c>
      <c r="I410" s="9" t="str">
        <f aca="false">IFERROR(Rohdaten!C410*100/Rohdaten!M410,"–")</f>
        <v>–</v>
      </c>
      <c r="J410" s="8" t="n">
        <f aca="false">IFERROR(Rohdaten!C410*100/Rohdaten!N410,"–")</f>
        <v>225</v>
      </c>
      <c r="K410" s="9" t="str">
        <f aca="false">IFERROR(Rohdaten!C410*100/Rohdaten!O410,"–")</f>
        <v>–</v>
      </c>
      <c r="L410" s="8" t="n">
        <f aca="false">IFERROR(Rohdaten!C410*100/Rohdaten!P410,"–")</f>
        <v>450</v>
      </c>
      <c r="M410" s="8" t="n">
        <f aca="false">IFERROR(Rohdaten!C410*100/Rohdaten!Q410,"–")</f>
        <v>750</v>
      </c>
      <c r="N410" s="8" t="n">
        <f aca="false">IFERROR(Rohdaten!C410*100/Rohdaten!R410,"–")</f>
        <v>36</v>
      </c>
      <c r="O410" s="8" t="n">
        <f aca="false">IFERROR(Rohdaten!C410*100/Rohdaten!S410,"–")</f>
        <v>1500</v>
      </c>
      <c r="P410" s="9" t="n">
        <f aca="false">IFERROR(Rohdaten!C410*100/Rohdaten!T410,"–")</f>
        <v>1</v>
      </c>
      <c r="Q410" s="9" t="str">
        <f aca="false">IFERROR(Rohdaten!C410*100/Rohdaten!U410,"–")</f>
        <v>–</v>
      </c>
      <c r="R410" s="8" t="n">
        <f aca="false">IFERROR(Rohdaten!C410*100/Rohdaten!V410,"–")</f>
        <v>1.5</v>
      </c>
      <c r="S410" s="8" t="n">
        <f aca="false">IFERROR(Rohdaten!C410*100/Rohdaten!W410,"–")</f>
        <v>36</v>
      </c>
      <c r="T410" s="8" t="n">
        <f aca="false">IFERROR(Rohdaten!C410*100/Rohdaten!X410,"–")</f>
        <v>4.5</v>
      </c>
      <c r="U410" s="8" t="n">
        <f aca="false">IFERROR(Rohdaten!C410*100/Rohdaten!Y410,"–")</f>
        <v>150</v>
      </c>
      <c r="V410" s="8" t="n">
        <f aca="false">IFERROR(Rohdaten!C410*100/Rohdaten!Z410,"–")</f>
        <v>0.75</v>
      </c>
    </row>
    <row r="411" customFormat="false" ht="15" hidden="false" customHeight="true" outlineLevel="0" collapsed="false">
      <c r="A411" s="4" t="str">
        <f aca="false">Rohdaten!A411</f>
        <v>Knäckebrot</v>
      </c>
      <c r="B411" s="8" t="n">
        <f aca="false">Rohdaten!C411</f>
        <v>0.9</v>
      </c>
      <c r="C411" s="8" t="n">
        <f aca="false">IFERROR(Rohdaten!C411*100/Rohdaten!G411,"–")</f>
        <v>0.253521126760563</v>
      </c>
      <c r="D411" s="8" t="n">
        <f aca="false">IFERROR(Rohdaten!C411*100/(Rohdaten!H411*9),"–")</f>
        <v>6.66666666666667</v>
      </c>
      <c r="E411" s="8" t="n">
        <f aca="false">IFERROR(Rohdaten!C411*100/(Rohdaten!I411*4),"–")</f>
        <v>2.25</v>
      </c>
      <c r="F411" s="8" t="n">
        <f aca="false">IFERROR(Rohdaten!C411*100/(Rohdaten!J411*4),"–")</f>
        <v>0.316901408450704</v>
      </c>
      <c r="G411" s="9" t="str">
        <f aca="false">IFERROR(Rohdaten!C411*100/Rohdaten!K411,"–")</f>
        <v>–</v>
      </c>
      <c r="H411" s="8" t="str">
        <f aca="false">IFERROR(Rohdaten!C411*100/Rohdaten!L411,"–")</f>
        <v>–</v>
      </c>
      <c r="I411" s="9" t="str">
        <f aca="false">IFERROR(Rohdaten!C411*100/Rohdaten!M411,"–")</f>
        <v>–</v>
      </c>
      <c r="J411" s="8" t="n">
        <f aca="false">IFERROR(Rohdaten!C411*100/Rohdaten!N411,"–")</f>
        <v>225</v>
      </c>
      <c r="K411" s="9" t="str">
        <f aca="false">IFERROR(Rohdaten!C411*100/Rohdaten!O411,"–")</f>
        <v>–</v>
      </c>
      <c r="L411" s="8" t="n">
        <f aca="false">IFERROR(Rohdaten!C411*100/Rohdaten!P411,"–")</f>
        <v>360</v>
      </c>
      <c r="M411" s="8" t="n">
        <f aca="false">IFERROR(Rohdaten!C411*100/Rohdaten!Q411,"–")</f>
        <v>600</v>
      </c>
      <c r="N411" s="8" t="n">
        <f aca="false">IFERROR(Rohdaten!C411*100/Rohdaten!R411,"–")</f>
        <v>25.7142857142857</v>
      </c>
      <c r="O411" s="8" t="n">
        <f aca="false">IFERROR(Rohdaten!C411*100/Rohdaten!S411,"–")</f>
        <v>450</v>
      </c>
      <c r="P411" s="9" t="n">
        <f aca="false">IFERROR(Rohdaten!C411*100/Rohdaten!T411,"–")</f>
        <v>3</v>
      </c>
      <c r="Q411" s="9" t="str">
        <f aca="false">IFERROR(Rohdaten!C411*100/Rohdaten!U411,"–")</f>
        <v>–</v>
      </c>
      <c r="R411" s="8" t="n">
        <f aca="false">IFERROR(Rohdaten!C411*100/Rohdaten!V411,"–")</f>
        <v>3</v>
      </c>
      <c r="S411" s="8" t="n">
        <f aca="false">IFERROR(Rohdaten!C411*100/Rohdaten!W411,"–")</f>
        <v>30</v>
      </c>
      <c r="T411" s="8" t="n">
        <f aca="false">IFERROR(Rohdaten!C411*100/Rohdaten!X411,"–")</f>
        <v>1.5</v>
      </c>
      <c r="U411" s="8" t="n">
        <f aca="false">IFERROR(Rohdaten!C411*100/Rohdaten!Y411,"–")</f>
        <v>60</v>
      </c>
      <c r="V411" s="8" t="n">
        <f aca="false">IFERROR(Rohdaten!C411*100/Rohdaten!Z411,"–")</f>
        <v>0.3</v>
      </c>
    </row>
    <row r="412" customFormat="false" ht="15" hidden="false" customHeight="true" outlineLevel="0" collapsed="false">
      <c r="A412" s="4" t="str">
        <f aca="false">Rohdaten!A412</f>
        <v>Zwieback</v>
      </c>
      <c r="B412" s="8" t="n">
        <f aca="false">Rohdaten!C412</f>
        <v>1</v>
      </c>
      <c r="C412" s="8" t="n">
        <f aca="false">IFERROR(Rohdaten!C412*100/Rohdaten!G412,"–")</f>
        <v>0.256410256410256</v>
      </c>
      <c r="D412" s="8" t="n">
        <f aca="false">IFERROR(Rohdaten!C412*100/(Rohdaten!H412*9),"–")</f>
        <v>1.58730158730159</v>
      </c>
      <c r="E412" s="8" t="n">
        <f aca="false">IFERROR(Rohdaten!C412*100/(Rohdaten!I412*4),"–")</f>
        <v>2.5</v>
      </c>
      <c r="F412" s="8" t="n">
        <f aca="false">IFERROR(Rohdaten!C412*100/(Rohdaten!J412*4),"–")</f>
        <v>0.347222222222222</v>
      </c>
      <c r="G412" s="9" t="str">
        <f aca="false">IFERROR(Rohdaten!C412*100/Rohdaten!K412,"–")</f>
        <v>–</v>
      </c>
      <c r="H412" s="8" t="str">
        <f aca="false">IFERROR(Rohdaten!C412*100/Rohdaten!L412,"–")</f>
        <v>–</v>
      </c>
      <c r="I412" s="9" t="str">
        <f aca="false">IFERROR(Rohdaten!C412*100/Rohdaten!M412,"–")</f>
        <v>–</v>
      </c>
      <c r="J412" s="8" t="n">
        <f aca="false">IFERROR(Rohdaten!C412*100/Rohdaten!N412,"–")</f>
        <v>200</v>
      </c>
      <c r="K412" s="9" t="str">
        <f aca="false">IFERROR(Rohdaten!C412*100/Rohdaten!O412,"–")</f>
        <v>–</v>
      </c>
      <c r="L412" s="8" t="n">
        <f aca="false">IFERROR(Rohdaten!C412*100/Rohdaten!P412,"–")</f>
        <v>666.666666666667</v>
      </c>
      <c r="M412" s="8" t="n">
        <f aca="false">IFERROR(Rohdaten!C412*100/Rohdaten!Q412,"–")</f>
        <v>1000</v>
      </c>
      <c r="N412" s="8" t="n">
        <f aca="false">IFERROR(Rohdaten!C412*100/Rohdaten!R412,"–")</f>
        <v>50</v>
      </c>
      <c r="O412" s="8" t="n">
        <f aca="false">IFERROR(Rohdaten!C412*100/Rohdaten!S412,"–")</f>
        <v>1000</v>
      </c>
      <c r="P412" s="9" t="n">
        <f aca="false">IFERROR(Rohdaten!C412*100/Rohdaten!T412,"–")</f>
        <v>5</v>
      </c>
      <c r="Q412" s="9" t="str">
        <f aca="false">IFERROR(Rohdaten!C412*100/Rohdaten!U412,"–")</f>
        <v>–</v>
      </c>
      <c r="R412" s="8" t="n">
        <f aca="false">IFERROR(Rohdaten!C412*100/Rohdaten!V412,"–")</f>
        <v>3.33333333333333</v>
      </c>
      <c r="S412" s="8" t="n">
        <f aca="false">IFERROR(Rohdaten!C412*100/Rohdaten!W412,"–")</f>
        <v>50</v>
      </c>
      <c r="T412" s="8" t="n">
        <f aca="false">IFERROR(Rohdaten!C412*100/Rohdaten!X412,"–")</f>
        <v>5</v>
      </c>
      <c r="U412" s="8" t="n">
        <f aca="false">IFERROR(Rohdaten!C412*100/Rohdaten!Y412,"–")</f>
        <v>166.666666666667</v>
      </c>
      <c r="V412" s="8" t="n">
        <f aca="false">IFERROR(Rohdaten!C412*100/Rohdaten!Z412,"–")</f>
        <v>0.833333333333333</v>
      </c>
    </row>
    <row r="413" customFormat="false" ht="15" hidden="false" customHeight="true" outlineLevel="0" collapsed="false">
      <c r="A413" s="4" t="str">
        <f aca="false">Rohdaten!A413</f>
        <v>Butterkeks</v>
      </c>
      <c r="B413" s="8" t="n">
        <f aca="false">Rohdaten!C413</f>
        <v>1.5</v>
      </c>
      <c r="C413" s="8" t="n">
        <f aca="false">IFERROR(Rohdaten!C413*100/Rohdaten!G413,"–")</f>
        <v>0.340909090909091</v>
      </c>
      <c r="D413" s="8" t="n">
        <f aca="false">IFERROR(Rohdaten!C413*100/(Rohdaten!H413*9),"–")</f>
        <v>1.11111111111111</v>
      </c>
      <c r="E413" s="8" t="n">
        <f aca="false">IFERROR(Rohdaten!C413*100/(Rohdaten!I413*4),"–")</f>
        <v>5.76923076923077</v>
      </c>
      <c r="F413" s="8" t="n">
        <f aca="false">IFERROR(Rohdaten!C413*100/(Rohdaten!J413*4),"–")</f>
        <v>0.520833333333333</v>
      </c>
      <c r="G413" s="9" t="n">
        <f aca="false">IFERROR(Rohdaten!C413*100/Rohdaten!K413,"–")</f>
        <v>1.5</v>
      </c>
      <c r="H413" s="8" t="str">
        <f aca="false">IFERROR(Rohdaten!C413*100/Rohdaten!L413,"–")</f>
        <v>–</v>
      </c>
      <c r="I413" s="9" t="str">
        <f aca="false">IFERROR(Rohdaten!C413*100/Rohdaten!M413,"–")</f>
        <v>–</v>
      </c>
      <c r="J413" s="8" t="n">
        <f aca="false">IFERROR(Rohdaten!C413*100/Rohdaten!N413,"–")</f>
        <v>150</v>
      </c>
      <c r="K413" s="9" t="n">
        <f aca="false">IFERROR(Rohdaten!C413*100/Rohdaten!O413,"–")</f>
        <v>50</v>
      </c>
      <c r="L413" s="8" t="n">
        <f aca="false">IFERROR(Rohdaten!C413*100/Rohdaten!P413,"–")</f>
        <v>1500</v>
      </c>
      <c r="M413" s="8" t="n">
        <f aca="false">IFERROR(Rohdaten!C413*100/Rohdaten!Q413,"–")</f>
        <v>1500</v>
      </c>
      <c r="N413" s="8" t="n">
        <f aca="false">IFERROR(Rohdaten!C413*100/Rohdaten!R413,"–")</f>
        <v>75</v>
      </c>
      <c r="O413" s="8" t="n">
        <f aca="false">IFERROR(Rohdaten!C413*100/Rohdaten!S413,"–")</f>
        <v>3000</v>
      </c>
      <c r="P413" s="9" t="n">
        <f aca="false">IFERROR(Rohdaten!C413*100/Rohdaten!T413,"–")</f>
        <v>10</v>
      </c>
      <c r="Q413" s="9" t="str">
        <f aca="false">IFERROR(Rohdaten!C413*100/Rohdaten!U413,"–")</f>
        <v>–</v>
      </c>
      <c r="R413" s="8" t="n">
        <f aca="false">IFERROR(Rohdaten!C413*100/Rohdaten!V413,"–")</f>
        <v>5</v>
      </c>
      <c r="S413" s="8" t="n">
        <f aca="false">IFERROR(Rohdaten!C413*100/Rohdaten!W413,"–")</f>
        <v>100</v>
      </c>
      <c r="T413" s="8" t="n">
        <f aca="false">IFERROR(Rohdaten!C413*100/Rohdaten!X413,"–")</f>
        <v>10</v>
      </c>
      <c r="U413" s="8" t="n">
        <f aca="false">IFERROR(Rohdaten!C413*100/Rohdaten!Y413,"–")</f>
        <v>375</v>
      </c>
      <c r="V413" s="8" t="n">
        <f aca="false">IFERROR(Rohdaten!C413*100/Rohdaten!Z413,"–")</f>
        <v>1.66666666666667</v>
      </c>
    </row>
    <row r="414" customFormat="false" ht="15" hidden="false" customHeight="true" outlineLevel="0" collapsed="false">
      <c r="A414" s="4" t="str">
        <f aca="false">Rohdaten!A414</f>
        <v>Steinpilze, frisch</v>
      </c>
      <c r="B414" s="8" t="n">
        <f aca="false">Rohdaten!C414</f>
        <v>1.5</v>
      </c>
      <c r="C414" s="8" t="n">
        <f aca="false">IFERROR(Rohdaten!C414*100/Rohdaten!G414,"–")</f>
        <v>5</v>
      </c>
      <c r="D414" s="8" t="n">
        <f aca="false">IFERROR(Rohdaten!C414*100/(Rohdaten!H414*9),"–")</f>
        <v>41.6666666666667</v>
      </c>
      <c r="E414" s="8" t="n">
        <f aca="false">IFERROR(Rohdaten!C414*100/(Rohdaten!I414*4),"–")</f>
        <v>9.61538461538462</v>
      </c>
      <c r="F414" s="8" t="n">
        <f aca="false">IFERROR(Rohdaten!C414*100/(Rohdaten!J414*4),"–")</f>
        <v>8.72093023255814</v>
      </c>
      <c r="G414" s="9" t="str">
        <f aca="false">IFERROR(Rohdaten!C414*100/Rohdaten!K414,"–")</f>
        <v>–</v>
      </c>
      <c r="H414" s="8" t="n">
        <f aca="false">IFERROR(Rohdaten!C414*100/Rohdaten!L414,"–")</f>
        <v>50</v>
      </c>
      <c r="I414" s="9" t="n">
        <f aca="false">IFERROR(Rohdaten!C414*100/Rohdaten!M414,"–")</f>
        <v>750</v>
      </c>
      <c r="J414" s="8" t="n">
        <f aca="false">IFERROR(Rohdaten!C414*100/Rohdaten!N414,"–")</f>
        <v>1500</v>
      </c>
      <c r="K414" s="9" t="str">
        <f aca="false">IFERROR(Rohdaten!C414*100/Rohdaten!O414,"–")</f>
        <v>–</v>
      </c>
      <c r="L414" s="8" t="n">
        <f aca="false">IFERROR(Rohdaten!C414*100/Rohdaten!P414,"–")</f>
        <v>1500</v>
      </c>
      <c r="M414" s="8" t="n">
        <f aca="false">IFERROR(Rohdaten!C414*100/Rohdaten!Q414,"–")</f>
        <v>500</v>
      </c>
      <c r="N414" s="8" t="n">
        <f aca="false">IFERROR(Rohdaten!C414*100/Rohdaten!R414,"–")</f>
        <v>37.5</v>
      </c>
      <c r="O414" s="8" t="n">
        <f aca="false">IFERROR(Rohdaten!C414*100/Rohdaten!S414,"–")</f>
        <v>1500</v>
      </c>
      <c r="P414" s="9" t="n">
        <f aca="false">IFERROR(Rohdaten!C414*100/Rohdaten!T414,"–")</f>
        <v>7.5</v>
      </c>
      <c r="Q414" s="9" t="str">
        <f aca="false">IFERROR(Rohdaten!C414*100/Rohdaten!U414,"–")</f>
        <v>–</v>
      </c>
      <c r="R414" s="8" t="n">
        <f aca="false">IFERROR(Rohdaten!C414*100/Rohdaten!V414,"–")</f>
        <v>30</v>
      </c>
      <c r="S414" s="8" t="n">
        <f aca="false">IFERROR(Rohdaten!C414*100/Rohdaten!W414,"–")</f>
        <v>150</v>
      </c>
      <c r="T414" s="8" t="n">
        <f aca="false">IFERROR(Rohdaten!C414*100/Rohdaten!X414,"–")</f>
        <v>10</v>
      </c>
      <c r="U414" s="8" t="n">
        <f aca="false">IFERROR(Rohdaten!C414*100/Rohdaten!Y414,"–")</f>
        <v>214.285714285714</v>
      </c>
      <c r="V414" s="8" t="n">
        <f aca="false">IFERROR(Rohdaten!C414*100/Rohdaten!Z414,"–")</f>
        <v>0.46875</v>
      </c>
    </row>
    <row r="415" customFormat="false" ht="15" hidden="false" customHeight="true" outlineLevel="0" collapsed="false">
      <c r="A415" s="4" t="str">
        <f aca="false">Rohdaten!A415</f>
        <v>Pfifferlinge, frisch</v>
      </c>
      <c r="B415" s="8" t="n">
        <f aca="false">Rohdaten!C415</f>
        <v>1.5</v>
      </c>
      <c r="C415" s="8" t="n">
        <f aca="false">IFERROR(Rohdaten!C415*100/Rohdaten!G415,"–")</f>
        <v>4.6875</v>
      </c>
      <c r="D415" s="8" t="n">
        <f aca="false">IFERROR(Rohdaten!C415*100/(Rohdaten!H415*9),"–")</f>
        <v>33.3333333333333</v>
      </c>
      <c r="E415" s="8" t="n">
        <f aca="false">IFERROR(Rohdaten!C415*100/(Rohdaten!I415*4),"–")</f>
        <v>25</v>
      </c>
      <c r="F415" s="8" t="n">
        <f aca="false">IFERROR(Rohdaten!C415*100/(Rohdaten!J415*4),"–")</f>
        <v>5.43478260869565</v>
      </c>
      <c r="G415" s="9" t="str">
        <f aca="false">IFERROR(Rohdaten!C415*100/Rohdaten!K415,"–")</f>
        <v>–</v>
      </c>
      <c r="H415" s="8" t="n">
        <f aca="false">IFERROR(Rohdaten!C415*100/Rohdaten!L415,"–")</f>
        <v>60</v>
      </c>
      <c r="I415" s="9" t="n">
        <f aca="false">IFERROR(Rohdaten!C415*100/Rohdaten!M415,"–")</f>
        <v>71.4285714285714</v>
      </c>
      <c r="J415" s="8" t="n">
        <f aca="false">IFERROR(Rohdaten!C415*100/Rohdaten!N415,"–")</f>
        <v>1500</v>
      </c>
      <c r="K415" s="9" t="str">
        <f aca="false">IFERROR(Rohdaten!C415*100/Rohdaten!O415,"–")</f>
        <v>–</v>
      </c>
      <c r="L415" s="8" t="n">
        <f aca="false">IFERROR(Rohdaten!C415*100/Rohdaten!P415,"–")</f>
        <v>3750</v>
      </c>
      <c r="M415" s="8" t="n">
        <f aca="false">IFERROR(Rohdaten!C415*100/Rohdaten!Q415,"–")</f>
        <v>750</v>
      </c>
      <c r="N415" s="8" t="n">
        <f aca="false">IFERROR(Rohdaten!C415*100/Rohdaten!R415,"–")</f>
        <v>28.8461538461538</v>
      </c>
      <c r="O415" s="8" t="n">
        <f aca="false">IFERROR(Rohdaten!C415*100/Rohdaten!S415,"–")</f>
        <v>2500</v>
      </c>
      <c r="P415" s="9" t="n">
        <f aca="false">IFERROR(Rohdaten!C415*100/Rohdaten!T415,"–")</f>
        <v>21.4285714285714</v>
      </c>
      <c r="Q415" s="9" t="str">
        <f aca="false">IFERROR(Rohdaten!C415*100/Rohdaten!U415,"–")</f>
        <v>–</v>
      </c>
      <c r="R415" s="8" t="n">
        <f aca="false">IFERROR(Rohdaten!C415*100/Rohdaten!V415,"–")</f>
        <v>10</v>
      </c>
      <c r="S415" s="8" t="n">
        <f aca="false">IFERROR(Rohdaten!C415*100/Rohdaten!W415,"–")</f>
        <v>150</v>
      </c>
      <c r="T415" s="8" t="n">
        <f aca="false">IFERROR(Rohdaten!C415*100/Rohdaten!X415,"–")</f>
        <v>15</v>
      </c>
      <c r="U415" s="8" t="n">
        <f aca="false">IFERROR(Rohdaten!C415*100/Rohdaten!Y415,"–")</f>
        <v>214.285714285714</v>
      </c>
      <c r="V415" s="8" t="n">
        <f aca="false">IFERROR(Rohdaten!C415*100/Rohdaten!Z415,"–")</f>
        <v>0.296442687747036</v>
      </c>
    </row>
    <row r="416" customFormat="false" ht="15" hidden="false" customHeight="true" outlineLevel="0" collapsed="false">
      <c r="A416" s="4" t="str">
        <f aca="false">Rohdaten!A416</f>
        <v>Austernpilze, frisch</v>
      </c>
      <c r="B416" s="8" t="n">
        <f aca="false">Rohdaten!C416</f>
        <v>1.3</v>
      </c>
      <c r="C416" s="8" t="n">
        <f aca="false">IFERROR(Rohdaten!C416*100/Rohdaten!G416,"–")</f>
        <v>3.93939393939394</v>
      </c>
      <c r="D416" s="8" t="n">
        <f aca="false">IFERROR(Rohdaten!C416*100/(Rohdaten!H416*9),"–")</f>
        <v>36.1111111111111</v>
      </c>
      <c r="E416" s="8" t="n">
        <f aca="false">IFERROR(Rohdaten!C416*100/(Rohdaten!I416*4),"–")</f>
        <v>9.84848484848485</v>
      </c>
      <c r="F416" s="8" t="n">
        <f aca="false">IFERROR(Rohdaten!C416*100/(Rohdaten!J416*4),"–")</f>
        <v>5.32786885245902</v>
      </c>
      <c r="G416" s="9" t="str">
        <f aca="false">IFERROR(Rohdaten!C416*100/Rohdaten!K416,"–")</f>
        <v>–</v>
      </c>
      <c r="H416" s="8" t="str">
        <f aca="false">IFERROR(Rohdaten!C416*100/Rohdaten!L416,"–")</f>
        <v>–</v>
      </c>
      <c r="I416" s="9" t="n">
        <f aca="false">IFERROR(Rohdaten!C416*100/Rohdaten!M416,"–")</f>
        <v>1300</v>
      </c>
      <c r="J416" s="8" t="n">
        <f aca="false">IFERROR(Rohdaten!C416*100/Rohdaten!N416,"–")</f>
        <v>13000</v>
      </c>
      <c r="K416" s="9" t="str">
        <f aca="false">IFERROR(Rohdaten!C416*100/Rohdaten!O416,"–")</f>
        <v>–</v>
      </c>
      <c r="L416" s="8" t="n">
        <f aca="false">IFERROR(Rohdaten!C416*100/Rohdaten!P416,"–")</f>
        <v>866.666666666667</v>
      </c>
      <c r="M416" s="8" t="n">
        <f aca="false">IFERROR(Rohdaten!C416*100/Rohdaten!Q416,"–")</f>
        <v>371.428571428571</v>
      </c>
      <c r="N416" s="8" t="n">
        <f aca="false">IFERROR(Rohdaten!C416*100/Rohdaten!R416,"–")</f>
        <v>26</v>
      </c>
      <c r="O416" s="8" t="n">
        <f aca="false">IFERROR(Rohdaten!C416*100/Rohdaten!S416,"–")</f>
        <v>1181.81818181818</v>
      </c>
      <c r="P416" s="9" t="n">
        <f aca="false">IFERROR(Rohdaten!C416*100/Rohdaten!T416,"–")</f>
        <v>3.42105263157895</v>
      </c>
      <c r="Q416" s="9" t="str">
        <f aca="false">IFERROR(Rohdaten!C416*100/Rohdaten!U416,"–")</f>
        <v>–</v>
      </c>
      <c r="R416" s="8" t="n">
        <f aca="false">IFERROR(Rohdaten!C416*100/Rohdaten!V416,"–")</f>
        <v>43.3333333333333</v>
      </c>
      <c r="S416" s="8" t="n">
        <f aca="false">IFERROR(Rohdaten!C416*100/Rohdaten!W416,"–")</f>
        <v>100</v>
      </c>
      <c r="T416" s="8" t="n">
        <f aca="false">IFERROR(Rohdaten!C416*100/Rohdaten!X416,"–")</f>
        <v>7.22222222222222</v>
      </c>
      <c r="U416" s="8" t="n">
        <f aca="false">IFERROR(Rohdaten!C416*100/Rohdaten!Y416,"–")</f>
        <v>162.5</v>
      </c>
      <c r="V416" s="8" t="n">
        <f aca="false">IFERROR(Rohdaten!C416*100/Rohdaten!Z416,"–")</f>
        <v>0.30952380952381</v>
      </c>
    </row>
    <row r="417" customFormat="false" ht="15" hidden="false" customHeight="true" outlineLevel="0" collapsed="false">
      <c r="A417" s="4" t="str">
        <f aca="false">Rohdaten!A417</f>
        <v>Shiitake, frisch</v>
      </c>
      <c r="B417" s="8" t="n">
        <f aca="false">Rohdaten!C417</f>
        <v>1.5</v>
      </c>
      <c r="C417" s="8" t="n">
        <f aca="false">IFERROR(Rohdaten!C417*100/Rohdaten!G417,"–")</f>
        <v>4.41176470588235</v>
      </c>
      <c r="D417" s="8" t="n">
        <f aca="false">IFERROR(Rohdaten!C417*100/(Rohdaten!H417*9),"–")</f>
        <v>33.3333333333333</v>
      </c>
      <c r="E417" s="8" t="n">
        <f aca="false">IFERROR(Rohdaten!C417*100/(Rohdaten!I417*4),"–")</f>
        <v>17.0454545454545</v>
      </c>
      <c r="F417" s="8" t="n">
        <f aca="false">IFERROR(Rohdaten!C417*100/(Rohdaten!J417*4),"–")</f>
        <v>5.51470588235294</v>
      </c>
      <c r="G417" s="9" t="str">
        <f aca="false">IFERROR(Rohdaten!C417*100/Rohdaten!K417,"–")</f>
        <v>–</v>
      </c>
      <c r="H417" s="8" t="str">
        <f aca="false">IFERROR(Rohdaten!C417*100/Rohdaten!L417,"–")</f>
        <v>–</v>
      </c>
      <c r="I417" s="9" t="n">
        <f aca="false">IFERROR(Rohdaten!C417*100/Rohdaten!M417,"–")</f>
        <v>375</v>
      </c>
      <c r="J417" s="8" t="n">
        <f aca="false">IFERROR(Rohdaten!C417*100/Rohdaten!N417,"–")</f>
        <v>7500</v>
      </c>
      <c r="K417" s="9" t="str">
        <f aca="false">IFERROR(Rohdaten!C417*100/Rohdaten!O417,"–")</f>
        <v>–</v>
      </c>
      <c r="L417" s="8" t="n">
        <f aca="false">IFERROR(Rohdaten!C417*100/Rohdaten!P417,"–")</f>
        <v>2500</v>
      </c>
      <c r="M417" s="8" t="n">
        <f aca="false">IFERROR(Rohdaten!C417*100/Rohdaten!Q417,"–")</f>
        <v>681.818181818182</v>
      </c>
      <c r="N417" s="8" t="n">
        <f aca="false">IFERROR(Rohdaten!C417*100/Rohdaten!R417,"–")</f>
        <v>38.4615384615385</v>
      </c>
      <c r="O417" s="8" t="n">
        <f aca="false">IFERROR(Rohdaten!C417*100/Rohdaten!S417,"–")</f>
        <v>517.241379310345</v>
      </c>
      <c r="P417" s="9" t="n">
        <f aca="false">IFERROR(Rohdaten!C417*100/Rohdaten!T417,"–")</f>
        <v>7.5</v>
      </c>
      <c r="Q417" s="9" t="str">
        <f aca="false">IFERROR(Rohdaten!C417*100/Rohdaten!U417,"–")</f>
        <v>–</v>
      </c>
      <c r="R417" s="8" t="n">
        <f aca="false">IFERROR(Rohdaten!C417*100/Rohdaten!V417,"–")</f>
        <v>75</v>
      </c>
      <c r="S417" s="8" t="n">
        <f aca="false">IFERROR(Rohdaten!C417*100/Rohdaten!W417,"–")</f>
        <v>375</v>
      </c>
      <c r="T417" s="8" t="n">
        <f aca="false">IFERROR(Rohdaten!C417*100/Rohdaten!X417,"–")</f>
        <v>7.5</v>
      </c>
      <c r="U417" s="8" t="n">
        <f aca="false">IFERROR(Rohdaten!C417*100/Rohdaten!Y417,"–")</f>
        <v>150</v>
      </c>
      <c r="V417" s="8" t="n">
        <f aca="false">IFERROR(Rohdaten!C417*100/Rohdaten!Z417,"–")</f>
        <v>0.493421052631579</v>
      </c>
    </row>
    <row r="418" customFormat="false" ht="15" hidden="false" customHeight="true" outlineLevel="0" collapsed="false">
      <c r="A418" s="4" t="str">
        <f aca="false">Rohdaten!A418</f>
        <v>Kräuterseitlinge, frisch</v>
      </c>
      <c r="B418" s="8" t="n">
        <f aca="false">Rohdaten!C418</f>
        <v>1.4</v>
      </c>
      <c r="C418" s="8" t="n">
        <f aca="false">IFERROR(Rohdaten!C418*100/Rohdaten!G418,"–")</f>
        <v>4</v>
      </c>
      <c r="D418" s="8" t="n">
        <f aca="false">IFERROR(Rohdaten!C418*100/(Rohdaten!H418*9),"–")</f>
        <v>38.8888888888889</v>
      </c>
      <c r="E418" s="8" t="n">
        <f aca="false">IFERROR(Rohdaten!C418*100/(Rohdaten!I418*4),"–")</f>
        <v>11.6666666666667</v>
      </c>
      <c r="F418" s="8" t="n">
        <f aca="false">IFERROR(Rohdaten!C418*100/(Rohdaten!J418*4),"–")</f>
        <v>7</v>
      </c>
      <c r="G418" s="9" t="str">
        <f aca="false">IFERROR(Rohdaten!C418*100/Rohdaten!K418,"–")</f>
        <v>–</v>
      </c>
      <c r="H418" s="8" t="str">
        <f aca="false">IFERROR(Rohdaten!C418*100/Rohdaten!L418,"–")</f>
        <v>–</v>
      </c>
      <c r="I418" s="9" t="n">
        <f aca="false">IFERROR(Rohdaten!C418*100/Rohdaten!M418,"–")</f>
        <v>1400</v>
      </c>
      <c r="J418" s="8" t="n">
        <f aca="false">IFERROR(Rohdaten!C418*100/Rohdaten!N418,"–")</f>
        <v>14000</v>
      </c>
      <c r="K418" s="9" t="str">
        <f aca="false">IFERROR(Rohdaten!C418*100/Rohdaten!O418,"–")</f>
        <v>–</v>
      </c>
      <c r="L418" s="8" t="n">
        <f aca="false">IFERROR(Rohdaten!C418*100/Rohdaten!P418,"–")</f>
        <v>1400</v>
      </c>
      <c r="M418" s="8" t="n">
        <f aca="false">IFERROR(Rohdaten!C418*100/Rohdaten!Q418,"–")</f>
        <v>560</v>
      </c>
      <c r="N418" s="8" t="n">
        <f aca="false">IFERROR(Rohdaten!C418*100/Rohdaten!R418,"–")</f>
        <v>31.1111111111111</v>
      </c>
      <c r="O418" s="8" t="n">
        <f aca="false">IFERROR(Rohdaten!C418*100/Rohdaten!S418,"–")</f>
        <v>1400</v>
      </c>
      <c r="P418" s="9" t="n">
        <f aca="false">IFERROR(Rohdaten!C418*100/Rohdaten!T418,"–")</f>
        <v>7</v>
      </c>
      <c r="Q418" s="9" t="str">
        <f aca="false">IFERROR(Rohdaten!C418*100/Rohdaten!U418,"–")</f>
        <v>–</v>
      </c>
      <c r="R418" s="8" t="n">
        <f aca="false">IFERROR(Rohdaten!C418*100/Rohdaten!V418,"–")</f>
        <v>46.6666666666667</v>
      </c>
      <c r="S418" s="8" t="n">
        <f aca="false">IFERROR(Rohdaten!C418*100/Rohdaten!W418,"–")</f>
        <v>140</v>
      </c>
      <c r="T418" s="8" t="n">
        <f aca="false">IFERROR(Rohdaten!C418*100/Rohdaten!X418,"–")</f>
        <v>9.33333333333333</v>
      </c>
      <c r="U418" s="8" t="n">
        <f aca="false">IFERROR(Rohdaten!C418*100/Rohdaten!Y418,"–")</f>
        <v>200</v>
      </c>
      <c r="V418" s="8" t="n">
        <f aca="false">IFERROR(Rohdaten!C418*100/Rohdaten!Z418,"–")</f>
        <v>0.4</v>
      </c>
    </row>
    <row r="419" customFormat="false" ht="15" hidden="false" customHeight="true" outlineLevel="0" collapsed="false">
      <c r="A419" s="4" t="str">
        <f aca="false">Rohdaten!A419</f>
        <v>Portobello</v>
      </c>
      <c r="B419" s="8" t="n">
        <f aca="false">Rohdaten!C419</f>
        <v>1.3</v>
      </c>
      <c r="C419" s="8" t="n">
        <f aca="false">IFERROR(Rohdaten!C419*100/Rohdaten!G419,"–")</f>
        <v>5.90909090909091</v>
      </c>
      <c r="D419" s="8" t="n">
        <f aca="false">IFERROR(Rohdaten!C419*100/(Rohdaten!H419*9),"–")</f>
        <v>36.1111111111111</v>
      </c>
      <c r="E419" s="8" t="n">
        <f aca="false">IFERROR(Rohdaten!C419*100/(Rohdaten!I419*4),"–")</f>
        <v>13</v>
      </c>
      <c r="F419" s="8" t="n">
        <f aca="false">IFERROR(Rohdaten!C419*100/(Rohdaten!J419*4),"–")</f>
        <v>8.33333333333333</v>
      </c>
      <c r="G419" s="9" t="str">
        <f aca="false">IFERROR(Rohdaten!C419*100/Rohdaten!K419,"–")</f>
        <v>–</v>
      </c>
      <c r="H419" s="8" t="str">
        <f aca="false">IFERROR(Rohdaten!C419*100/Rohdaten!L419,"–")</f>
        <v>–</v>
      </c>
      <c r="I419" s="9" t="n">
        <f aca="false">IFERROR(Rohdaten!C419*100/Rohdaten!M419,"–")</f>
        <v>650</v>
      </c>
      <c r="J419" s="8" t="n">
        <f aca="false">IFERROR(Rohdaten!C419*100/Rohdaten!N419,"–")</f>
        <v>13000</v>
      </c>
      <c r="K419" s="9" t="str">
        <f aca="false">IFERROR(Rohdaten!C419*100/Rohdaten!O419,"–")</f>
        <v>–</v>
      </c>
      <c r="L419" s="8" t="n">
        <f aca="false">IFERROR(Rohdaten!C419*100/Rohdaten!P419,"–")</f>
        <v>2166.66666666667</v>
      </c>
      <c r="M419" s="8" t="n">
        <f aca="false">IFERROR(Rohdaten!C419*100/Rohdaten!Q419,"–")</f>
        <v>541.666666666667</v>
      </c>
      <c r="N419" s="8" t="n">
        <f aca="false">IFERROR(Rohdaten!C419*100/Rohdaten!R419,"–")</f>
        <v>34.2105263157895</v>
      </c>
      <c r="O419" s="8" t="n">
        <f aca="false">IFERROR(Rohdaten!C419*100/Rohdaten!S419,"–")</f>
        <v>1300</v>
      </c>
      <c r="P419" s="9" t="n">
        <f aca="false">IFERROR(Rohdaten!C419*100/Rohdaten!T419,"–")</f>
        <v>7.64705882352941</v>
      </c>
      <c r="Q419" s="9" t="str">
        <f aca="false">IFERROR(Rohdaten!C419*100/Rohdaten!U419,"–")</f>
        <v>–</v>
      </c>
      <c r="R419" s="8" t="n">
        <f aca="false">IFERROR(Rohdaten!C419*100/Rohdaten!V419,"–")</f>
        <v>43.3333333333333</v>
      </c>
      <c r="S419" s="8" t="n">
        <f aca="false">IFERROR(Rohdaten!C419*100/Rohdaten!W419,"–")</f>
        <v>325</v>
      </c>
      <c r="T419" s="8" t="n">
        <f aca="false">IFERROR(Rohdaten!C419*100/Rohdaten!X419,"–")</f>
        <v>14.4444444444444</v>
      </c>
      <c r="U419" s="8" t="n">
        <f aca="false">IFERROR(Rohdaten!C419*100/Rohdaten!Y419,"–")</f>
        <v>260</v>
      </c>
      <c r="V419" s="8" t="n">
        <f aca="false">IFERROR(Rohdaten!C419*100/Rohdaten!Z419,"–")</f>
        <v>0.408805031446541</v>
      </c>
    </row>
    <row r="420" customFormat="false" ht="15" hidden="false" customHeight="true" outlineLevel="0" collapsed="false">
      <c r="A420" s="4" t="str">
        <f aca="false">Rohdaten!A420</f>
        <v>Trüffel</v>
      </c>
      <c r="B420" s="8" t="n">
        <f aca="false">Rohdaten!C420</f>
        <v>25</v>
      </c>
      <c r="C420" s="8" t="n">
        <f aca="false">IFERROR(Rohdaten!C420*100/Rohdaten!G420,"–")</f>
        <v>80.6451612903226</v>
      </c>
      <c r="D420" s="8" t="n">
        <f aca="false">IFERROR(Rohdaten!C420*100/(Rohdaten!H420*9),"–")</f>
        <v>555.555555555556</v>
      </c>
      <c r="E420" s="8" t="n">
        <f aca="false">IFERROR(Rohdaten!C420*100/(Rohdaten!I420*4),"–")</f>
        <v>104.166666666667</v>
      </c>
      <c r="F420" s="8" t="n">
        <f aca="false">IFERROR(Rohdaten!C420*100/(Rohdaten!J420*4),"–")</f>
        <v>390.625</v>
      </c>
      <c r="G420" s="9" t="str">
        <f aca="false">IFERROR(Rohdaten!C420*100/Rohdaten!K420,"–")</f>
        <v>–</v>
      </c>
      <c r="H420" s="8" t="n">
        <f aca="false">IFERROR(Rohdaten!C420*100/Rohdaten!L420,"–")</f>
        <v>625</v>
      </c>
      <c r="I420" s="9" t="str">
        <f aca="false">IFERROR(Rohdaten!C420*100/Rohdaten!M420,"–")</f>
        <v>–</v>
      </c>
      <c r="J420" s="8" t="n">
        <f aca="false">IFERROR(Rohdaten!C420*100/Rohdaten!N420,"–")</f>
        <v>25000</v>
      </c>
      <c r="K420" s="9" t="str">
        <f aca="false">IFERROR(Rohdaten!C420*100/Rohdaten!O420,"–")</f>
        <v>–</v>
      </c>
      <c r="L420" s="8" t="n">
        <f aca="false">IFERROR(Rohdaten!C420*100/Rohdaten!P420,"–")</f>
        <v>25000</v>
      </c>
      <c r="M420" s="8" t="n">
        <f aca="false">IFERROR(Rohdaten!C420*100/Rohdaten!Q420,"–")</f>
        <v>8333.33333333333</v>
      </c>
      <c r="N420" s="8" t="n">
        <f aca="false">IFERROR(Rohdaten!C420*100/Rohdaten!R420,"–")</f>
        <v>1000</v>
      </c>
      <c r="O420" s="8" t="n">
        <f aca="false">IFERROR(Rohdaten!C420*100/Rohdaten!S420,"–")</f>
        <v>25000</v>
      </c>
      <c r="P420" s="9" t="n">
        <f aca="false">IFERROR(Rohdaten!C420*100/Rohdaten!T420,"–")</f>
        <v>125</v>
      </c>
      <c r="Q420" s="9" t="str">
        <f aca="false">IFERROR(Rohdaten!C420*100/Rohdaten!U420,"–")</f>
        <v>–</v>
      </c>
      <c r="R420" s="8" t="n">
        <f aca="false">IFERROR(Rohdaten!C420*100/Rohdaten!V420,"–")</f>
        <v>125</v>
      </c>
      <c r="S420" s="8" t="n">
        <f aca="false">IFERROR(Rohdaten!C420*100/Rohdaten!W420,"–")</f>
        <v>1250</v>
      </c>
      <c r="T420" s="8" t="n">
        <f aca="false">IFERROR(Rohdaten!C420*100/Rohdaten!X420,"–")</f>
        <v>83.3333333333333</v>
      </c>
      <c r="U420" s="8" t="n">
        <f aca="false">IFERROR(Rohdaten!C420*100/Rohdaten!Y420,"–")</f>
        <v>2500</v>
      </c>
      <c r="V420" s="8" t="n">
        <f aca="false">IFERROR(Rohdaten!C420*100/Rohdaten!Z420,"–")</f>
        <v>8.33333333333333</v>
      </c>
    </row>
    <row r="421" customFormat="false" ht="15" hidden="false" customHeight="true" outlineLevel="0" collapsed="false">
      <c r="A421" s="4" t="str">
        <f aca="false">Rohdaten!A421</f>
        <v>Pilze, getrocknet (Mix)</v>
      </c>
      <c r="B421" s="8" t="n">
        <f aca="false">Rohdaten!C421</f>
        <v>3.5</v>
      </c>
      <c r="C421" s="8" t="n">
        <f aca="false">IFERROR(Rohdaten!C421*100/Rohdaten!G421,"–")</f>
        <v>1.23239436619718</v>
      </c>
      <c r="D421" s="8" t="n">
        <f aca="false">IFERROR(Rohdaten!C421*100/(Rohdaten!H421*9),"–")</f>
        <v>12.962962962963</v>
      </c>
      <c r="E421" s="8" t="n">
        <f aca="false">IFERROR(Rohdaten!C421*100/(Rohdaten!I421*4),"–")</f>
        <v>2.91666666666667</v>
      </c>
      <c r="F421" s="8" t="n">
        <f aca="false">IFERROR(Rohdaten!C421*100/(Rohdaten!J421*4),"–")</f>
        <v>1.68269230769231</v>
      </c>
      <c r="G421" s="9" t="str">
        <f aca="false">IFERROR(Rohdaten!C421*100/Rohdaten!K421,"–")</f>
        <v>–</v>
      </c>
      <c r="H421" s="8" t="str">
        <f aca="false">IFERROR(Rohdaten!C421*100/Rohdaten!L421,"–")</f>
        <v>–</v>
      </c>
      <c r="I421" s="9" t="n">
        <f aca="false">IFERROR(Rohdaten!C421*100/Rohdaten!M421,"–")</f>
        <v>116.666666666667</v>
      </c>
      <c r="J421" s="8" t="n">
        <f aca="false">IFERROR(Rohdaten!C421*100/Rohdaten!N421,"–")</f>
        <v>3500</v>
      </c>
      <c r="K421" s="9" t="str">
        <f aca="false">IFERROR(Rohdaten!C421*100/Rohdaten!O421,"–")</f>
        <v>–</v>
      </c>
      <c r="L421" s="8" t="n">
        <f aca="false">IFERROR(Rohdaten!C421*100/Rohdaten!P421,"–")</f>
        <v>1166.66666666667</v>
      </c>
      <c r="M421" s="8" t="n">
        <f aca="false">IFERROR(Rohdaten!C421*100/Rohdaten!Q421,"–")</f>
        <v>233.333333333333</v>
      </c>
      <c r="N421" s="8" t="n">
        <f aca="false">IFERROR(Rohdaten!C421*100/Rohdaten!R421,"–")</f>
        <v>11.6666666666667</v>
      </c>
      <c r="O421" s="8" t="n">
        <f aca="false">IFERROR(Rohdaten!C421*100/Rohdaten!S421,"–")</f>
        <v>700</v>
      </c>
      <c r="P421" s="9" t="n">
        <f aca="false">IFERROR(Rohdaten!C421*100/Rohdaten!T421,"–")</f>
        <v>7</v>
      </c>
      <c r="Q421" s="9" t="str">
        <f aca="false">IFERROR(Rohdaten!C421*100/Rohdaten!U421,"–")</f>
        <v>–</v>
      </c>
      <c r="R421" s="8" t="n">
        <f aca="false">IFERROR(Rohdaten!C421*100/Rohdaten!V421,"–")</f>
        <v>17.5</v>
      </c>
      <c r="S421" s="8" t="n">
        <f aca="false">IFERROR(Rohdaten!C421*100/Rohdaten!W421,"–")</f>
        <v>35</v>
      </c>
      <c r="T421" s="8" t="n">
        <f aca="false">IFERROR(Rohdaten!C421*100/Rohdaten!X421,"–")</f>
        <v>4.375</v>
      </c>
      <c r="U421" s="8" t="n">
        <f aca="false">IFERROR(Rohdaten!C421*100/Rohdaten!Y421,"–")</f>
        <v>70</v>
      </c>
      <c r="V421" s="8" t="n">
        <f aca="false">IFERROR(Rohdaten!C421*100/Rohdaten!Z421,"–")</f>
        <v>0.175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27.75" hidden="false" customHeight="true" outlineLevel="0" collapsed="false">
      <c r="A1" s="10" t="s">
        <v>499</v>
      </c>
    </row>
    <row r="3" customFormat="false" ht="19.5" hidden="false" customHeight="true" outlineLevel="0" collapsed="false">
      <c r="A3" s="11" t="s">
        <v>500</v>
      </c>
    </row>
    <row r="4" customFormat="false" ht="54.75" hidden="false" customHeight="true" outlineLevel="0" collapsed="false">
      <c r="A4" s="12" t="s">
        <v>501</v>
      </c>
    </row>
    <row r="5" customFormat="false" ht="19.5" hidden="false" customHeight="true" outlineLevel="0" collapsed="false">
      <c r="A5" s="11" t="s">
        <v>502</v>
      </c>
    </row>
    <row r="6" customFormat="false" ht="54.75" hidden="false" customHeight="true" outlineLevel="0" collapsed="false">
      <c r="A6" s="12" t="s">
        <v>503</v>
      </c>
    </row>
    <row r="7" customFormat="false" ht="54.75" hidden="false" customHeight="true" outlineLevel="0" collapsed="false">
      <c r="A7" s="12" t="s">
        <v>504</v>
      </c>
    </row>
    <row r="8" customFormat="false" ht="54.75" hidden="false" customHeight="true" outlineLevel="0" collapsed="false">
      <c r="A8" s="12" t="s">
        <v>505</v>
      </c>
    </row>
    <row r="9" customFormat="false" ht="54.75" hidden="false" customHeight="true" outlineLevel="0" collapsed="false">
      <c r="A9" s="12" t="s">
        <v>506</v>
      </c>
    </row>
    <row r="10" customFormat="false" ht="54.75" hidden="false" customHeight="true" outlineLevel="0" collapsed="false">
      <c r="A10" s="12" t="s">
        <v>507</v>
      </c>
    </row>
    <row r="11" customFormat="false" ht="54.75" hidden="false" customHeight="true" outlineLevel="0" collapsed="false">
      <c r="A11" s="12" t="s">
        <v>508</v>
      </c>
    </row>
    <row r="12" customFormat="false" ht="54.75" hidden="false" customHeight="true" outlineLevel="0" collapsed="false">
      <c r="A12" s="12" t="s">
        <v>509</v>
      </c>
    </row>
    <row r="13" customFormat="false" ht="54.75" hidden="false" customHeight="true" outlineLevel="0" collapsed="false">
      <c r="A13" s="12" t="s">
        <v>510</v>
      </c>
    </row>
    <row r="14" customFormat="false" ht="54.75" hidden="false" customHeight="true" outlineLevel="0" collapsed="false">
      <c r="A14" s="12" t="s">
        <v>511</v>
      </c>
    </row>
    <row r="15" customFormat="false" ht="54.75" hidden="false" customHeight="true" outlineLevel="0" collapsed="false">
      <c r="A15" s="12" t="s">
        <v>512</v>
      </c>
    </row>
    <row r="16" customFormat="false" ht="54.75" hidden="false" customHeight="true" outlineLevel="0" collapsed="false">
      <c r="A16" s="12" t="s">
        <v>513</v>
      </c>
    </row>
    <row r="17" customFormat="false" ht="19.5" hidden="false" customHeight="true" outlineLevel="0" collapsed="false">
      <c r="A17" s="11" t="s">
        <v>514</v>
      </c>
    </row>
    <row r="18" customFormat="false" ht="54.75" hidden="false" customHeight="true" outlineLevel="0" collapsed="false">
      <c r="A18" s="12" t="s">
        <v>515</v>
      </c>
    </row>
    <row r="19" customFormat="false" ht="19.5" hidden="false" customHeight="true" outlineLevel="0" collapsed="false">
      <c r="A19" s="11" t="s">
        <v>516</v>
      </c>
    </row>
    <row r="20" customFormat="false" ht="54.75" hidden="false" customHeight="true" outlineLevel="0" collapsed="false">
      <c r="A20" s="12" t="s">
        <v>517</v>
      </c>
    </row>
    <row r="21" customFormat="false" ht="54.75" hidden="false" customHeight="true" outlineLevel="0" collapsed="false">
      <c r="A21" s="12" t="s">
        <v>518</v>
      </c>
    </row>
    <row r="22" customFormat="false" ht="19.5" hidden="false" customHeight="true" outlineLevel="0" collapsed="false">
      <c r="A22" s="11" t="s">
        <v>519</v>
      </c>
    </row>
    <row r="23" customFormat="false" ht="54.75" hidden="false" customHeight="true" outlineLevel="0" collapsed="false">
      <c r="A23" s="12" t="s">
        <v>520</v>
      </c>
    </row>
    <row r="24" customFormat="false" ht="54.75" hidden="false" customHeight="true" outlineLevel="0" collapsed="false">
      <c r="A24" s="12" t="s">
        <v>521</v>
      </c>
    </row>
    <row r="25" customFormat="false" ht="54.75" hidden="false" customHeight="true" outlineLevel="0" collapsed="false">
      <c r="A25" s="12" t="s">
        <v>522</v>
      </c>
    </row>
    <row r="26" customFormat="false" ht="54.75" hidden="false" customHeight="true" outlineLevel="0" collapsed="false">
      <c r="A26" s="12" t="s">
        <v>523</v>
      </c>
    </row>
    <row r="27" customFormat="false" ht="54.75" hidden="false" customHeight="true" outlineLevel="0" collapsed="false">
      <c r="A27" s="12" t="s">
        <v>524</v>
      </c>
    </row>
    <row r="28" customFormat="false" ht="19.5" hidden="false" customHeight="true" outlineLevel="0" collapsed="false">
      <c r="A28" s="11" t="s">
        <v>525</v>
      </c>
    </row>
    <row r="29" customFormat="false" ht="54.75" hidden="false" customHeight="true" outlineLevel="0" collapsed="false">
      <c r="A29" s="12" t="s">
        <v>526</v>
      </c>
    </row>
    <row r="30" customFormat="false" ht="19.5" hidden="false" customHeight="true" outlineLevel="0" collapsed="false">
      <c r="A30" s="11" t="s">
        <v>527</v>
      </c>
    </row>
    <row r="31" customFormat="false" ht="54.75" hidden="false" customHeight="true" outlineLevel="0" collapsed="false">
      <c r="A31" s="12" t="s">
        <v>528</v>
      </c>
    </row>
    <row r="33" customFormat="false" ht="19.5" hidden="false" customHeight="true" outlineLevel="0" collapsed="false">
      <c r="A33" s="13" t="s">
        <v>529</v>
      </c>
    </row>
    <row r="34" customFormat="false" ht="69.75" hidden="false" customHeight="true" outlineLevel="0" collapsed="false">
      <c r="A34" s="12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2026-09-16T05:23:52Z</dcterms:created>
  <dc:creator>openpyxl</dc:creator>
  <dc:description/>
  <dc:language>en-US</dc:language>
  <cp:lastModifiedBy/>
  <dcterms:modified xsi:type="dcterms:W3CDTF">2026-09-19T12:02:06Z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